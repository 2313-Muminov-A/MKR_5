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ДЗ по МСС\"/>
    </mc:Choice>
  </mc:AlternateContent>
  <xr:revisionPtr revIDLastSave="0" documentId="13_ncr:1_{6ED39745-1610-4214-9E02-349EEF5FECBA}" xr6:coauthVersionLast="46" xr6:coauthVersionMax="46" xr10:uidLastSave="{00000000-0000-0000-0000-000000000000}"/>
  <bookViews>
    <workbookView xWindow="-120" yWindow="-120" windowWidth="20730" windowHeight="11160" xr2:uid="{9A43D7F0-F59A-4BAF-B24B-42E5A1441664}"/>
  </bookViews>
  <sheets>
    <sheet name="Euler_1D_ro_const_p135" sheetId="1" r:id="rId1"/>
    <sheet name="Euler_1D_var_p135" sheetId="2" r:id="rId2"/>
    <sheet name="Euler_1D_ro_const_p105" sheetId="3" r:id="rId3"/>
    <sheet name="Euler_1D_ro_var_p105" sheetId="4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4" l="1"/>
  <c r="Q13" i="4"/>
  <c r="Q17" i="4" s="1"/>
  <c r="Q18" i="4" s="1"/>
  <c r="Q19" i="4" s="1"/>
  <c r="Q21" i="4" s="1"/>
  <c r="P13" i="4"/>
  <c r="O13" i="4"/>
  <c r="O17" i="4" s="1"/>
  <c r="O18" i="4" s="1"/>
  <c r="O19" i="4" s="1"/>
  <c r="O21" i="4" s="1"/>
  <c r="N13" i="4"/>
  <c r="N17" i="4" s="1"/>
  <c r="N18" i="4" s="1"/>
  <c r="M13" i="4"/>
  <c r="M17" i="4" s="1"/>
  <c r="M18" i="4" s="1"/>
  <c r="M19" i="4" s="1"/>
  <c r="M21" i="4" s="1"/>
  <c r="L13" i="4"/>
  <c r="K13" i="4"/>
  <c r="K17" i="4" s="1"/>
  <c r="K18" i="4" s="1"/>
  <c r="K19" i="4" s="1"/>
  <c r="K21" i="4" s="1"/>
  <c r="J13" i="4"/>
  <c r="J17" i="4" s="1"/>
  <c r="J18" i="4" s="1"/>
  <c r="I13" i="4"/>
  <c r="I17" i="4" s="1"/>
  <c r="I18" i="4" s="1"/>
  <c r="I19" i="4" s="1"/>
  <c r="I21" i="4" s="1"/>
  <c r="H13" i="4"/>
  <c r="Q4" i="4"/>
  <c r="G4" i="4"/>
  <c r="C4" i="4"/>
  <c r="H3" i="4"/>
  <c r="I3" i="4" s="1"/>
  <c r="H2" i="4"/>
  <c r="I2" i="4" s="1"/>
  <c r="J2" i="4" s="1"/>
  <c r="K2" i="4" s="1"/>
  <c r="L2" i="4" s="1"/>
  <c r="M2" i="4" s="1"/>
  <c r="N2" i="4" s="1"/>
  <c r="O2" i="4" s="1"/>
  <c r="P2" i="4" s="1"/>
  <c r="Q2" i="4" s="1"/>
  <c r="Q14" i="3"/>
  <c r="Q13" i="3"/>
  <c r="P13" i="3"/>
  <c r="O13" i="3"/>
  <c r="O17" i="3" s="1"/>
  <c r="O18" i="3" s="1"/>
  <c r="N13" i="3"/>
  <c r="N17" i="3" s="1"/>
  <c r="N18" i="3" s="1"/>
  <c r="M13" i="3"/>
  <c r="L13" i="3"/>
  <c r="K13" i="3"/>
  <c r="K17" i="3" s="1"/>
  <c r="K18" i="3" s="1"/>
  <c r="J13" i="3"/>
  <c r="J17" i="3" s="1"/>
  <c r="J18" i="3" s="1"/>
  <c r="I13" i="3"/>
  <c r="H13" i="3"/>
  <c r="Q4" i="3"/>
  <c r="G4" i="3"/>
  <c r="C4" i="3"/>
  <c r="H3" i="3"/>
  <c r="H4" i="3" s="1"/>
  <c r="H2" i="3"/>
  <c r="I2" i="3" s="1"/>
  <c r="J2" i="3" s="1"/>
  <c r="K2" i="3" s="1"/>
  <c r="L2" i="3" s="1"/>
  <c r="M2" i="3" s="1"/>
  <c r="N2" i="3" s="1"/>
  <c r="O2" i="3" s="1"/>
  <c r="P2" i="3" s="1"/>
  <c r="Q2" i="3" s="1"/>
  <c r="Q14" i="2"/>
  <c r="Q13" i="2"/>
  <c r="P13" i="2"/>
  <c r="O13" i="2"/>
  <c r="O17" i="2" s="1"/>
  <c r="O18" i="2" s="1"/>
  <c r="O19" i="2" s="1"/>
  <c r="O21" i="2" s="1"/>
  <c r="N13" i="2"/>
  <c r="M13" i="2"/>
  <c r="M17" i="2" s="1"/>
  <c r="M18" i="2" s="1"/>
  <c r="L13" i="2"/>
  <c r="K13" i="2"/>
  <c r="K17" i="2" s="1"/>
  <c r="K18" i="2" s="1"/>
  <c r="K19" i="2" s="1"/>
  <c r="K21" i="2" s="1"/>
  <c r="J13" i="2"/>
  <c r="I13" i="2"/>
  <c r="I17" i="2" s="1"/>
  <c r="I18" i="2" s="1"/>
  <c r="H13" i="2"/>
  <c r="Q4" i="2"/>
  <c r="G4" i="2"/>
  <c r="C4" i="2"/>
  <c r="H3" i="2"/>
  <c r="I3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P13" i="1"/>
  <c r="O13" i="1"/>
  <c r="O17" i="1" s="1"/>
  <c r="O18" i="1" s="1"/>
  <c r="N13" i="1"/>
  <c r="M13" i="1"/>
  <c r="L13" i="1"/>
  <c r="K13" i="1"/>
  <c r="K17" i="1" s="1"/>
  <c r="K18" i="1" s="1"/>
  <c r="J13" i="1"/>
  <c r="I13" i="1"/>
  <c r="H13" i="1"/>
  <c r="Q4" i="1"/>
  <c r="G4" i="1"/>
  <c r="C4" i="1"/>
  <c r="H3" i="1"/>
  <c r="I3" i="1" s="1"/>
  <c r="H2" i="1"/>
  <c r="I2" i="1" s="1"/>
  <c r="J2" i="1" s="1"/>
  <c r="K2" i="1" s="1"/>
  <c r="L2" i="1" s="1"/>
  <c r="M2" i="1" s="1"/>
  <c r="N2" i="1" s="1"/>
  <c r="O2" i="1" s="1"/>
  <c r="P2" i="1" s="1"/>
  <c r="Q2" i="1" s="1"/>
  <c r="Q10" i="4" l="1"/>
  <c r="Q15" i="4"/>
  <c r="O22" i="4"/>
  <c r="O20" i="4"/>
  <c r="I4" i="4"/>
  <c r="I10" i="4" s="1"/>
  <c r="J3" i="4"/>
  <c r="K22" i="4"/>
  <c r="K20" i="4"/>
  <c r="M20" i="4"/>
  <c r="M22" i="4"/>
  <c r="I20" i="4"/>
  <c r="I22" i="4"/>
  <c r="Q20" i="4"/>
  <c r="Q22" i="4"/>
  <c r="Q23" i="4" s="1"/>
  <c r="H4" i="4"/>
  <c r="H17" i="4"/>
  <c r="H18" i="4" s="1"/>
  <c r="H19" i="4" s="1"/>
  <c r="H21" i="4" s="1"/>
  <c r="L17" i="4"/>
  <c r="L18" i="4" s="1"/>
  <c r="L19" i="4" s="1"/>
  <c r="L21" i="4" s="1"/>
  <c r="P17" i="4"/>
  <c r="P18" i="4" s="1"/>
  <c r="P19" i="4" s="1"/>
  <c r="P21" i="4" s="1"/>
  <c r="J19" i="4"/>
  <c r="J21" i="4" s="1"/>
  <c r="N19" i="4"/>
  <c r="N21" i="4" s="1"/>
  <c r="Q10" i="3"/>
  <c r="H10" i="3"/>
  <c r="G13" i="3"/>
  <c r="G10" i="3" s="1"/>
  <c r="H17" i="3"/>
  <c r="H18" i="3" s="1"/>
  <c r="H19" i="3" s="1"/>
  <c r="L17" i="3"/>
  <c r="L18" i="3" s="1"/>
  <c r="L19" i="3" s="1"/>
  <c r="P17" i="3"/>
  <c r="P18" i="3" s="1"/>
  <c r="P19" i="3" s="1"/>
  <c r="J19" i="3"/>
  <c r="N19" i="3"/>
  <c r="I3" i="3"/>
  <c r="I17" i="3"/>
  <c r="I18" i="3" s="1"/>
  <c r="I19" i="3" s="1"/>
  <c r="M17" i="3"/>
  <c r="M18" i="3" s="1"/>
  <c r="M19" i="3" s="1"/>
  <c r="Q17" i="3"/>
  <c r="Q18" i="3" s="1"/>
  <c r="Q19" i="3" s="1"/>
  <c r="K19" i="3"/>
  <c r="O19" i="3"/>
  <c r="Q10" i="2"/>
  <c r="I19" i="2"/>
  <c r="I21" i="2" s="1"/>
  <c r="I20" i="2" s="1"/>
  <c r="M19" i="2"/>
  <c r="M21" i="2" s="1"/>
  <c r="M20" i="2" s="1"/>
  <c r="Q17" i="2"/>
  <c r="Q18" i="2" s="1"/>
  <c r="Q19" i="2" s="1"/>
  <c r="Q21" i="2" s="1"/>
  <c r="Q10" i="1"/>
  <c r="K22" i="2"/>
  <c r="K20" i="2"/>
  <c r="O22" i="2"/>
  <c r="O20" i="2"/>
  <c r="J3" i="2"/>
  <c r="I4" i="2"/>
  <c r="I10" i="2" s="1"/>
  <c r="H4" i="2"/>
  <c r="H17" i="2"/>
  <c r="H18" i="2" s="1"/>
  <c r="H19" i="2" s="1"/>
  <c r="H21" i="2" s="1"/>
  <c r="L17" i="2"/>
  <c r="L18" i="2" s="1"/>
  <c r="L19" i="2" s="1"/>
  <c r="L21" i="2" s="1"/>
  <c r="P17" i="2"/>
  <c r="P18" i="2" s="1"/>
  <c r="P19" i="2" s="1"/>
  <c r="P21" i="2" s="1"/>
  <c r="J17" i="2"/>
  <c r="J18" i="2" s="1"/>
  <c r="J19" i="2" s="1"/>
  <c r="J21" i="2" s="1"/>
  <c r="N17" i="2"/>
  <c r="N18" i="2" s="1"/>
  <c r="N19" i="2" s="1"/>
  <c r="N21" i="2" s="1"/>
  <c r="J3" i="1"/>
  <c r="I4" i="1"/>
  <c r="I10" i="1" s="1"/>
  <c r="H4" i="1"/>
  <c r="H17" i="1"/>
  <c r="H18" i="1" s="1"/>
  <c r="H19" i="1" s="1"/>
  <c r="L17" i="1"/>
  <c r="L18" i="1" s="1"/>
  <c r="L19" i="1" s="1"/>
  <c r="P17" i="1"/>
  <c r="P18" i="1" s="1"/>
  <c r="P19" i="1" s="1"/>
  <c r="I17" i="1"/>
  <c r="I18" i="1" s="1"/>
  <c r="I19" i="1" s="1"/>
  <c r="M17" i="1"/>
  <c r="M18" i="1" s="1"/>
  <c r="M19" i="1" s="1"/>
  <c r="Q17" i="1"/>
  <c r="Q18" i="1" s="1"/>
  <c r="Q19" i="1" s="1"/>
  <c r="K19" i="1"/>
  <c r="O19" i="1"/>
  <c r="J17" i="1"/>
  <c r="J18" i="1" s="1"/>
  <c r="J19" i="1" s="1"/>
  <c r="N17" i="1"/>
  <c r="N18" i="1" s="1"/>
  <c r="N19" i="1" s="1"/>
  <c r="L20" i="4" l="1"/>
  <c r="L22" i="4"/>
  <c r="H20" i="4"/>
  <c r="H22" i="4"/>
  <c r="N22" i="4"/>
  <c r="N20" i="4"/>
  <c r="P20" i="4"/>
  <c r="P22" i="4"/>
  <c r="J22" i="4"/>
  <c r="J20" i="4"/>
  <c r="G13" i="4"/>
  <c r="H10" i="4"/>
  <c r="H11" i="4" s="1"/>
  <c r="H14" i="4" s="1"/>
  <c r="J4" i="4"/>
  <c r="J10" i="4" s="1"/>
  <c r="I11" i="4" s="1"/>
  <c r="I14" i="4" s="1"/>
  <c r="K3" i="4"/>
  <c r="J3" i="3"/>
  <c r="I4" i="3"/>
  <c r="I10" i="3" s="1"/>
  <c r="G17" i="3"/>
  <c r="G18" i="3" s="1"/>
  <c r="G19" i="3" s="1"/>
  <c r="G14" i="3"/>
  <c r="I22" i="2"/>
  <c r="M22" i="2"/>
  <c r="Q22" i="2"/>
  <c r="Q23" i="2" s="1"/>
  <c r="Q20" i="2"/>
  <c r="Q15" i="2"/>
  <c r="P22" i="2"/>
  <c r="P20" i="2"/>
  <c r="L22" i="2"/>
  <c r="L20" i="2"/>
  <c r="J20" i="2"/>
  <c r="J22" i="2"/>
  <c r="N20" i="2"/>
  <c r="N22" i="2"/>
  <c r="H22" i="2"/>
  <c r="H20" i="2"/>
  <c r="H10" i="2"/>
  <c r="H11" i="2" s="1"/>
  <c r="H14" i="2" s="1"/>
  <c r="G13" i="2"/>
  <c r="J4" i="2"/>
  <c r="J10" i="2" s="1"/>
  <c r="K3" i="2"/>
  <c r="H10" i="1"/>
  <c r="H11" i="1" s="1"/>
  <c r="H14" i="1" s="1"/>
  <c r="G13" i="1"/>
  <c r="J4" i="1"/>
  <c r="J10" i="1" s="1"/>
  <c r="K3" i="1"/>
  <c r="G14" i="4" l="1"/>
  <c r="G17" i="4"/>
  <c r="G18" i="4" s="1"/>
  <c r="G19" i="4" s="1"/>
  <c r="G21" i="4" s="1"/>
  <c r="G10" i="4"/>
  <c r="L3" i="4"/>
  <c r="K4" i="4"/>
  <c r="K10" i="4" s="1"/>
  <c r="I15" i="4"/>
  <c r="I23" i="4"/>
  <c r="H23" i="4"/>
  <c r="H15" i="4"/>
  <c r="H11" i="3"/>
  <c r="H14" i="3" s="1"/>
  <c r="K3" i="3"/>
  <c r="J4" i="3"/>
  <c r="J10" i="3" s="1"/>
  <c r="G17" i="2"/>
  <c r="G18" i="2" s="1"/>
  <c r="G19" i="2" s="1"/>
  <c r="G21" i="2" s="1"/>
  <c r="G14" i="2"/>
  <c r="G10" i="2"/>
  <c r="K4" i="2"/>
  <c r="K10" i="2" s="1"/>
  <c r="J11" i="2" s="1"/>
  <c r="J14" i="2" s="1"/>
  <c r="L3" i="2"/>
  <c r="H15" i="2"/>
  <c r="H23" i="2"/>
  <c r="I11" i="2"/>
  <c r="I14" i="2" s="1"/>
  <c r="I11" i="1"/>
  <c r="I14" i="1" s="1"/>
  <c r="G17" i="1"/>
  <c r="G18" i="1" s="1"/>
  <c r="G19" i="1" s="1"/>
  <c r="G14" i="1"/>
  <c r="G10" i="1"/>
  <c r="K4" i="1"/>
  <c r="K10" i="1" s="1"/>
  <c r="L3" i="1"/>
  <c r="G22" i="4" l="1"/>
  <c r="G23" i="4" s="1"/>
  <c r="G20" i="4"/>
  <c r="G15" i="4"/>
  <c r="M3" i="4"/>
  <c r="L4" i="4"/>
  <c r="L10" i="4" s="1"/>
  <c r="J11" i="4"/>
  <c r="J14" i="4" s="1"/>
  <c r="K4" i="3"/>
  <c r="K10" i="3" s="1"/>
  <c r="L3" i="3"/>
  <c r="I11" i="3"/>
  <c r="I14" i="3" s="1"/>
  <c r="G22" i="2"/>
  <c r="G23" i="2" s="1"/>
  <c r="G20" i="2"/>
  <c r="I23" i="2"/>
  <c r="I15" i="2"/>
  <c r="M3" i="2"/>
  <c r="L4" i="2"/>
  <c r="L10" i="2" s="1"/>
  <c r="K11" i="2" s="1"/>
  <c r="K14" i="2" s="1"/>
  <c r="G15" i="2"/>
  <c r="J15" i="2"/>
  <c r="J23" i="2"/>
  <c r="M3" i="1"/>
  <c r="L4" i="1"/>
  <c r="L10" i="1" s="1"/>
  <c r="K11" i="1" s="1"/>
  <c r="K14" i="1" s="1"/>
  <c r="J11" i="1"/>
  <c r="J14" i="1" s="1"/>
  <c r="J23" i="4" l="1"/>
  <c r="J15" i="4"/>
  <c r="K11" i="4"/>
  <c r="K14" i="4" s="1"/>
  <c r="M4" i="4"/>
  <c r="M10" i="4" s="1"/>
  <c r="N3" i="4"/>
  <c r="L4" i="3"/>
  <c r="L10" i="3" s="1"/>
  <c r="K11" i="3" s="1"/>
  <c r="K14" i="3" s="1"/>
  <c r="M3" i="3"/>
  <c r="J11" i="3"/>
  <c r="J14" i="3" s="1"/>
  <c r="K23" i="2"/>
  <c r="K15" i="2"/>
  <c r="N3" i="2"/>
  <c r="M4" i="2"/>
  <c r="M10" i="2" s="1"/>
  <c r="N3" i="1"/>
  <c r="M4" i="1"/>
  <c r="M10" i="1" s="1"/>
  <c r="K23" i="4" l="1"/>
  <c r="K15" i="4"/>
  <c r="N4" i="4"/>
  <c r="N10" i="4" s="1"/>
  <c r="O3" i="4"/>
  <c r="L11" i="4"/>
  <c r="L14" i="4" s="1"/>
  <c r="N3" i="3"/>
  <c r="M4" i="3"/>
  <c r="M10" i="3" s="1"/>
  <c r="L11" i="3" s="1"/>
  <c r="L14" i="3" s="1"/>
  <c r="N4" i="2"/>
  <c r="N10" i="2" s="1"/>
  <c r="M11" i="2" s="1"/>
  <c r="M14" i="2" s="1"/>
  <c r="O3" i="2"/>
  <c r="L11" i="2"/>
  <c r="L14" i="2" s="1"/>
  <c r="N4" i="1"/>
  <c r="N10" i="1" s="1"/>
  <c r="O3" i="1"/>
  <c r="L11" i="1"/>
  <c r="L14" i="1" s="1"/>
  <c r="P3" i="4" l="1"/>
  <c r="P4" i="4" s="1"/>
  <c r="P10" i="4" s="1"/>
  <c r="P11" i="4" s="1"/>
  <c r="P14" i="4" s="1"/>
  <c r="O4" i="4"/>
  <c r="O10" i="4" s="1"/>
  <c r="N11" i="4" s="1"/>
  <c r="N14" i="4" s="1"/>
  <c r="L23" i="4"/>
  <c r="L15" i="4"/>
  <c r="M11" i="4"/>
  <c r="M14" i="4" s="1"/>
  <c r="O3" i="3"/>
  <c r="N4" i="3"/>
  <c r="N10" i="3" s="1"/>
  <c r="M23" i="2"/>
  <c r="M15" i="2"/>
  <c r="L23" i="2"/>
  <c r="L15" i="2"/>
  <c r="O4" i="2"/>
  <c r="O10" i="2" s="1"/>
  <c r="P3" i="2"/>
  <c r="P4" i="2" s="1"/>
  <c r="P10" i="2" s="1"/>
  <c r="P11" i="2" s="1"/>
  <c r="P14" i="2" s="1"/>
  <c r="O4" i="1"/>
  <c r="O10" i="1" s="1"/>
  <c r="N11" i="1" s="1"/>
  <c r="N14" i="1" s="1"/>
  <c r="P3" i="1"/>
  <c r="P4" i="1" s="1"/>
  <c r="P10" i="1" s="1"/>
  <c r="P11" i="1" s="1"/>
  <c r="P14" i="1" s="1"/>
  <c r="M11" i="1"/>
  <c r="M14" i="1" s="1"/>
  <c r="O11" i="4" l="1"/>
  <c r="O14" i="4" s="1"/>
  <c r="O23" i="4" s="1"/>
  <c r="N23" i="4"/>
  <c r="N15" i="4"/>
  <c r="M15" i="4"/>
  <c r="M23" i="4"/>
  <c r="P23" i="4"/>
  <c r="P15" i="4"/>
  <c r="O4" i="3"/>
  <c r="O10" i="3" s="1"/>
  <c r="N11" i="3" s="1"/>
  <c r="N14" i="3" s="1"/>
  <c r="P3" i="3"/>
  <c r="P4" i="3" s="1"/>
  <c r="P10" i="3" s="1"/>
  <c r="P11" i="3" s="1"/>
  <c r="P14" i="3" s="1"/>
  <c r="M11" i="3"/>
  <c r="M14" i="3" s="1"/>
  <c r="O11" i="2"/>
  <c r="O14" i="2" s="1"/>
  <c r="O15" i="2" s="1"/>
  <c r="N11" i="2"/>
  <c r="N14" i="2" s="1"/>
  <c r="P23" i="2"/>
  <c r="P15" i="2"/>
  <c r="O11" i="1"/>
  <c r="O14" i="1" s="1"/>
  <c r="O15" i="4" l="1"/>
  <c r="O11" i="3"/>
  <c r="O14" i="3" s="1"/>
  <c r="O23" i="2"/>
  <c r="N15" i="2"/>
  <c r="N23" i="2"/>
</calcChain>
</file>

<file path=xl/sharedStrings.xml><?xml version="1.0" encoding="utf-8"?>
<sst xmlns="http://schemas.openxmlformats.org/spreadsheetml/2006/main" count="117" uniqueCount="26">
  <si>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</si>
  <si>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</si>
  <si>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</si>
  <si>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</si>
  <si>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</si>
  <si>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</si>
  <si>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</si>
  <si>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</si>
  <si>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</si>
  <si>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</si>
  <si>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</si>
  <si>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</si>
  <si>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</si>
  <si>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</si>
  <si>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</si>
  <si>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</si>
  <si>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</si>
  <si>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</si>
  <si>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</si>
  <si>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</si>
  <si>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U_3D</t>
  </si>
  <si>
    <t>p_3D</t>
  </si>
  <si>
    <t>G_3D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</si>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</sst>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0"/>
    <numFmt numFmtId="167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2" borderId="1" xfId="0" applyFill="1" applyBorder="1"/>
    <xf numFmtId="164" fontId="0" fillId="0" borderId="1" xfId="0" applyNumberFormat="1" applyBorder="1"/>
    <xf numFmtId="2" fontId="0" fillId="0" borderId="1" xfId="0" applyNumberFormat="1" applyBorder="1"/>
    <xf numFmtId="0" fontId="0" fillId="3" borderId="1" xfId="0" applyFill="1" applyBorder="1"/>
    <xf numFmtId="165" fontId="0" fillId="0" borderId="1" xfId="0" applyNumberFormat="1" applyBorder="1"/>
    <xf numFmtId="1" fontId="0" fillId="0" borderId="1" xfId="0" applyNumberFormat="1" applyBorder="1"/>
    <xf numFmtId="0" fontId="0" fillId="4" borderId="1" xfId="0" applyFill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164" fontId="0" fillId="6" borderId="1" xfId="0" applyNumberFormat="1" applyFill="1" applyBorder="1"/>
    <xf numFmtId="167" fontId="0" fillId="6" borderId="1" xfId="0" applyNumberFormat="1" applyFill="1" applyBorder="1"/>
    <xf numFmtId="2" fontId="0" fillId="6" borderId="1" xfId="0" applyNumberFormat="1" applyFill="1" applyBorder="1"/>
    <xf numFmtId="1" fontId="0" fillId="3" borderId="1" xfId="0" applyNumberFormat="1" applyFill="1" applyBorder="1"/>
    <xf numFmtId="1" fontId="0" fillId="6" borderId="1" xfId="0" applyNumberFormat="1" applyFill="1" applyBorder="1"/>
    <xf numFmtId="165" fontId="0" fillId="6" borderId="1" xfId="0" applyNumberFormat="1" applyFill="1" applyBorder="1"/>
    <xf numFmtId="0" fontId="0" fillId="6" borderId="0" xfId="0" applyFill="1"/>
    <xf numFmtId="2" fontId="0" fillId="0" borderId="0" xfId="0" applyNumberFormat="1" applyBorder="1"/>
    <xf numFmtId="0" fontId="0" fillId="0" borderId="0" xfId="0" applyBorder="1"/>
    <xf numFmtId="0" fontId="0" fillId="0" borderId="1" xfId="0" applyFill="1" applyBorder="1"/>
    <xf numFmtId="0" fontId="0" fillId="6" borderId="0" xfId="0" applyFill="1" applyBorder="1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444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Euler_1D_ro_const_p135!$G$2:$Q$2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Euler_1D_ro_const_p135!$G$3:$Q$3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17-497A-B39C-E30271763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Euler_1D_ro_const_p135!$G$2:$Q$2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Euler_1D_ro_const_p135!$G$10:$Q$10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AF-4792-A01F-38CE5AA41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p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Euler_1D_ro_const_p135!$G$2:$Q$2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Euler_1D_ro_const_p135!$G$6:$Q$6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4D-4E8A-B139-0983D4AAFBC2}"/>
            </c:ext>
          </c:extLst>
        </c:ser>
        <c:ser>
          <c:idx val="3"/>
          <c:order val="3"/>
          <c:tx>
            <c:v>p_3D</c:v>
          </c:tx>
          <c:spPr>
            <a:ln w="381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Euler_1D_ro_const_p135!$S$23:$W$23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Euler_1D_ro_const_p135!$S$25:$W$25</c:f>
              <c:numCache>
                <c:formatCode>0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94D-4E8A-B139-0983D4AAF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Euler_1D_ro_const_p135!$G$2:$Q$2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6.0000000000000005E-2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9.9999999999999992E-2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Euler_1D_ro_const_p135!$S$23:$W$23</c15:sqref>
                        </c15:formulaRef>
                      </c:ext>
                    </c:extLst>
                    <c:numCache>
                      <c:formatCode>0.000</c:formatCode>
                      <c:ptCount val="5"/>
                      <c:pt idx="0" formatCode="0.00">
                        <c:v>0</c:v>
                      </c:pt>
                      <c:pt idx="1">
                        <c:v>2.5000000000000001E-2</c:v>
                      </c:pt>
                      <c:pt idx="2" formatCode="0.00">
                        <c:v>0.05</c:v>
                      </c:pt>
                      <c:pt idx="3">
                        <c:v>7.4999999999999997E-2</c:v>
                      </c:pt>
                      <c:pt idx="4" formatCode="0.00">
                        <c:v>0.1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994D-4E8A-B139-0983D4AAFBC2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Euler_1D_ro_const_p135!$G$2:$Q$2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6.0000000000000005E-2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9.9999999999999992E-2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Euler_1D_ro_const_p135!$S$23:$W$23</c15:sqref>
                        </c15:formulaRef>
                      </c:ext>
                    </c:extLst>
                    <c:numCache>
                      <c:formatCode>0.000</c:formatCode>
                      <c:ptCount val="5"/>
                      <c:pt idx="0" formatCode="0.00">
                        <c:v>0</c:v>
                      </c:pt>
                      <c:pt idx="1">
                        <c:v>2.5000000000000001E-2</c:v>
                      </c:pt>
                      <c:pt idx="2" formatCode="0.00">
                        <c:v>0.05</c:v>
                      </c:pt>
                      <c:pt idx="3">
                        <c:v>7.4999999999999997E-2</c:v>
                      </c:pt>
                      <c:pt idx="4" formatCode="0.00">
                        <c:v>0.1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994D-4E8A-B139-0983D4AAFBC2}"/>
                  </c:ext>
                </c:extLst>
              </c15:ser>
            </c15:filteredScatterSeries>
          </c:ext>
        </c:extLst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U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Euler_1D_ro_const_p135!$G$2:$Q$2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Euler_1D_ro_const_p135!$G$5:$Q$5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9-4B41-A7C7-45CA8A88055D}"/>
            </c:ext>
          </c:extLst>
        </c:ser>
        <c:ser>
          <c:idx val="1"/>
          <c:order val="1"/>
          <c:tx>
            <c:v>U_3D</c:v>
          </c:tx>
          <c:spPr>
            <a:ln w="381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Euler_1D_ro_const_p135!$S$23:$W$23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Euler_1D_ro_const_p135!$S$24:$W$24</c:f>
              <c:numCache>
                <c:formatCode>0.00</c:formatCode>
                <c:ptCount val="5"/>
                <c:pt idx="0" formatCode="0.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F39-4B41-A7C7-45CA8A880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Euler_1D_var_p135!$G$2:$Q$2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Euler_1D_var_p135!$G$3:$Q$3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3C-4F07-82E8-FA1931F50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95168"/>
        <c:axId val="510189920"/>
      </c:scatterChart>
      <c:valAx>
        <c:axId val="51019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189920"/>
        <c:crosses val="autoZero"/>
        <c:crossBetween val="midCat"/>
      </c:valAx>
      <c:valAx>
        <c:axId val="510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19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G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Euler_1D_var_p135!$G$10:$Q$10</c:f>
              <c:numCache>
                <c:formatCode>0.000</c:formatCode>
                <c:ptCount val="11"/>
                <c:pt idx="0">
                  <c:v>1.3682005167431885</c:v>
                </c:pt>
                <c:pt idx="1">
                  <c:v>1.3682005088069324</c:v>
                </c:pt>
                <c:pt idx="2">
                  <c:v>1.3682000694267309</c:v>
                </c:pt>
                <c:pt idx="3">
                  <c:v>1.368199560807196</c:v>
                </c:pt>
                <c:pt idx="4">
                  <c:v>1.368199014301563</c:v>
                </c:pt>
                <c:pt idx="5">
                  <c:v>1.3681984662861226</c:v>
                </c:pt>
                <c:pt idx="6">
                  <c:v>1.3681979565247693</c:v>
                </c:pt>
                <c:pt idx="7">
                  <c:v>1.3681975247708453</c:v>
                </c:pt>
                <c:pt idx="8">
                  <c:v>1.3681972048492526</c:v>
                </c:pt>
                <c:pt idx="9">
                  <c:v>1.3681970155333982</c:v>
                </c:pt>
                <c:pt idx="10">
                  <c:v>1.3681969479854583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65-4F9F-AF65-85AD9E122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773640"/>
        <c:axId val="646772656"/>
      </c:scatterChart>
      <c:valAx>
        <c:axId val="64677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6772656"/>
        <c:crosses val="autoZero"/>
        <c:crossBetween val="midCat"/>
      </c:valAx>
      <c:valAx>
        <c:axId val="64677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6773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Euler_1D_var_p135!$G$13:$Q$13</c:f>
              <c:numCache>
                <c:formatCode>0.00</c:formatCode>
                <c:ptCount val="11"/>
                <c:pt idx="0" formatCode="General">
                  <c:v>42.000606674422357</c:v>
                </c:pt>
                <c:pt idx="1">
                  <c:v>46.626767688159291</c:v>
                </c:pt>
                <c:pt idx="2">
                  <c:v>52.082072299264787</c:v>
                </c:pt>
                <c:pt idx="3">
                  <c:v>58.586970894739075</c:v>
                </c:pt>
                <c:pt idx="4">
                  <c:v>66.446396128679325</c:v>
                </c:pt>
                <c:pt idx="5">
                  <c:v>76.096694576440584</c:v>
                </c:pt>
                <c:pt idx="6">
                  <c:v>88.191120381826622</c:v>
                </c:pt>
                <c:pt idx="7">
                  <c:v>103.77219842037697</c:v>
                </c:pt>
                <c:pt idx="8">
                  <c:v>124.67536972885881</c:v>
                </c:pt>
                <c:pt idx="9">
                  <c:v>154.73849543369866</c:v>
                </c:pt>
                <c:pt idx="10">
                  <c:v>205.8782131357008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30-49E5-BA59-CD743D23AC4E}"/>
            </c:ext>
          </c:extLst>
        </c:ser>
        <c:ser>
          <c:idx val="1"/>
          <c:order val="1"/>
          <c:tx>
            <c:v>U_3D</c:v>
          </c:tx>
          <c:spPr>
            <a:ln w="381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Euler_1D_var_p135!$U$24:$Y$24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Euler_1D_var_p135!$U$25:$Y$25</c:f>
              <c:numCache>
                <c:formatCode>0.00</c:formatCode>
                <c:ptCount val="5"/>
                <c:pt idx="0" formatCode="0.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30-49E5-BA59-CD743D23A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1160"/>
        <c:axId val="509436672"/>
      </c:scatterChart>
      <c:valAx>
        <c:axId val="512661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9436672"/>
        <c:crosses val="autoZero"/>
        <c:crossBetween val="midCat"/>
      </c:valAx>
      <c:valAx>
        <c:axId val="50943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1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Euler_1D_var_p135!$G$14:$Q$14</c:f>
              <c:numCache>
                <c:formatCode>0</c:formatCode>
                <c:ptCount val="11"/>
                <c:pt idx="0">
                  <c:v>133570.95642610881</c:v>
                </c:pt>
                <c:pt idx="1">
                  <c:v>133222.14284659794</c:v>
                </c:pt>
                <c:pt idx="2">
                  <c:v>132763.83879270777</c:v>
                </c:pt>
                <c:pt idx="3">
                  <c:v>132151.17497214349</c:v>
                </c:pt>
                <c:pt idx="4">
                  <c:v>131315.5138414347</c:v>
                </c:pt>
                <c:pt idx="5">
                  <c:v>130148.06612038906</c:v>
                </c:pt>
                <c:pt idx="6">
                  <c:v>128468.45691842092</c:v>
                </c:pt>
                <c:pt idx="7">
                  <c:v>125958.94229389235</c:v>
                </c:pt>
                <c:pt idx="8">
                  <c:v>122007.74673497002</c:v>
                </c:pt>
                <c:pt idx="9">
                  <c:v>115244.93116816921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C4-4748-B5D6-EE578C86741A}"/>
            </c:ext>
          </c:extLst>
        </c:ser>
        <c:ser>
          <c:idx val="1"/>
          <c:order val="1"/>
          <c:tx>
            <c:v>p_3D</c:v>
          </c:tx>
          <c:spPr>
            <a:ln w="381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Euler_1D_var_p135!$U$24:$Y$24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Euler_1D_var_p135!$U$26:$Y$26</c:f>
              <c:numCache>
                <c:formatCode>0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C4-4748-B5D6-EE578C867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532184"/>
        <c:axId val="524535792"/>
      </c:scatterChart>
      <c:valAx>
        <c:axId val="52453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4535792"/>
        <c:crosses val="autoZero"/>
        <c:crossBetween val="midCat"/>
      </c:valAx>
      <c:valAx>
        <c:axId val="52453579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4532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R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Euler_1D_ro_const_p105!$G$2:$Q$2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30-45AE-A9AA-B27EACFCF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95168"/>
        <c:axId val="510189920"/>
      </c:scatterChart>
      <c:valAx>
        <c:axId val="51019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189920"/>
        <c:crosses val="autoZero"/>
        <c:crossBetween val="midCat"/>
      </c:valAx>
      <c:valAx>
        <c:axId val="510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195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G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Euler_1D_ro_const_p105!$G$2:$Q$2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Euler_1D_ro_const_p105!$G$10:$Q$10</c:f>
              <c:numCache>
                <c:formatCode>0.000</c:formatCode>
                <c:ptCount val="11"/>
                <c:pt idx="0">
                  <c:v>0.45201061219314304</c:v>
                </c:pt>
                <c:pt idx="1">
                  <c:v>0.45201061220632605</c:v>
                </c:pt>
                <c:pt idx="2">
                  <c:v>0.45201061293768202</c:v>
                </c:pt>
                <c:pt idx="3">
                  <c:v>0.45201061368476897</c:v>
                </c:pt>
                <c:pt idx="4">
                  <c:v>0.45201061439841633</c:v>
                </c:pt>
                <c:pt idx="5">
                  <c:v>0.45201061503083062</c:v>
                </c:pt>
                <c:pt idx="6">
                  <c:v>0.45201061554110328</c:v>
                </c:pt>
                <c:pt idx="7">
                  <c:v>0.45201061590282221</c:v>
                </c:pt>
                <c:pt idx="8">
                  <c:v>0.45201061611226834</c:v>
                </c:pt>
                <c:pt idx="9">
                  <c:v>0.45201061619487437</c:v>
                </c:pt>
                <c:pt idx="10">
                  <c:v>0.45201061620397215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56-4DDC-B14C-D6DDAD8BD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773640"/>
        <c:axId val="646772656"/>
      </c:scatterChart>
      <c:valAx>
        <c:axId val="64677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6772656"/>
        <c:crosses val="autoZero"/>
        <c:crossBetween val="midCat"/>
      </c:valAx>
      <c:valAx>
        <c:axId val="64677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6773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Euler_1D_ro_const_p105!$G$2:$Q$2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Euler_1D_ro_const_p105!$G$13:$Q$13</c:f>
              <c:numCache>
                <c:formatCode>0.00</c:formatCode>
                <c:ptCount val="11"/>
                <c:pt idx="0" formatCode="General">
                  <c:v>18.971446007524381</c:v>
                </c:pt>
                <c:pt idx="1">
                  <c:v>21.020992806734284</c:v>
                </c:pt>
                <c:pt idx="2">
                  <c:v>23.421538319473587</c:v>
                </c:pt>
                <c:pt idx="3">
                  <c:v>26.258056844470282</c:v>
                </c:pt>
                <c:pt idx="4">
                  <c:v>29.642884531378819</c:v>
                </c:pt>
                <c:pt idx="5">
                  <c:v>33.727015336223388</c:v>
                </c:pt>
                <c:pt idx="6">
                  <c:v>38.717237036821302</c:v>
                </c:pt>
                <c:pt idx="7">
                  <c:v>44.902831155560314</c:v>
                </c:pt>
                <c:pt idx="8">
                  <c:v>52.698461588930414</c:v>
                </c:pt>
                <c:pt idx="9">
                  <c:v>62.715524547048041</c:v>
                </c:pt>
                <c:pt idx="10">
                  <c:v>75.885784703455414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07-4265-8DA8-DC906655C44B}"/>
            </c:ext>
          </c:extLst>
        </c:ser>
        <c:ser>
          <c:idx val="1"/>
          <c:order val="1"/>
          <c:tx>
            <c:v>U_3D</c:v>
          </c:tx>
          <c:spPr>
            <a:ln w="381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Euler_1D_ro_const_p105!$U$24:$Y$24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Euler_1D_ro_const_p105!$U$25:$Y$25</c:f>
              <c:numCache>
                <c:formatCode>0.00</c:formatCode>
                <c:ptCount val="5"/>
                <c:pt idx="0" formatCode="General">
                  <c:v>20.67</c:v>
                </c:pt>
                <c:pt idx="1">
                  <c:v>25.84</c:v>
                </c:pt>
                <c:pt idx="2">
                  <c:v>35.26</c:v>
                </c:pt>
                <c:pt idx="3">
                  <c:v>50.77</c:v>
                </c:pt>
                <c:pt idx="4">
                  <c:v>78.61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07-4265-8DA8-DC906655C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1160"/>
        <c:axId val="509436672"/>
      </c:scatterChart>
      <c:valAx>
        <c:axId val="512661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9436672"/>
        <c:crosses val="autoZero"/>
        <c:crossBetween val="midCat"/>
      </c:valAx>
      <c:valAx>
        <c:axId val="50943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1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Euler_1D_ro_const_p105!$G$2:$Q$2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Euler_1D_ro_const_p105!$G$14:$Q$14</c:f>
              <c:numCache>
                <c:formatCode>General</c:formatCode>
                <c:ptCount val="11"/>
                <c:pt idx="0" formatCode="0">
                  <c:v>104786.74991005727</c:v>
                </c:pt>
                <c:pt idx="1">
                  <c:v>104735.69595242671</c:v>
                </c:pt>
                <c:pt idx="2">
                  <c:v>104669.06995696553</c:v>
                </c:pt>
                <c:pt idx="3">
                  <c:v>104580.80942129425</c:v>
                </c:pt>
                <c:pt idx="4">
                  <c:v>104461.9111945622</c:v>
                </c:pt>
                <c:pt idx="5">
                  <c:v>104298.68272691201</c:v>
                </c:pt>
                <c:pt idx="6">
                  <c:v>104069.73172508919</c:v>
                </c:pt>
                <c:pt idx="7">
                  <c:v>103740.59715941688</c:v>
                </c:pt>
                <c:pt idx="8">
                  <c:v>103253.77814821964</c:v>
                </c:pt>
                <c:pt idx="9">
                  <c:v>102509.33109917003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B5-4CC5-8C8F-5B862F9623BC}"/>
            </c:ext>
          </c:extLst>
        </c:ser>
        <c:ser>
          <c:idx val="1"/>
          <c:order val="1"/>
          <c:tx>
            <c:v>p_3D</c:v>
          </c:tx>
          <c:spPr>
            <a:ln w="381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Euler_1D_ro_const_p105!$U$24:$Y$24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Euler_1D_ro_const_p105!$U$26:$Y$26</c:f>
              <c:numCache>
                <c:formatCode>0</c:formatCode>
                <c:ptCount val="5"/>
                <c:pt idx="0">
                  <c:v>104733</c:v>
                </c:pt>
                <c:pt idx="1">
                  <c:v>104600</c:v>
                </c:pt>
                <c:pt idx="2">
                  <c:v>104259</c:v>
                </c:pt>
                <c:pt idx="3">
                  <c:v>103465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B5-4CC5-8C8F-5B862F962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532184"/>
        <c:axId val="524535792"/>
      </c:scatterChart>
      <c:valAx>
        <c:axId val="52453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4535792"/>
        <c:crosses val="autoZero"/>
        <c:crossBetween val="midCat"/>
      </c:valAx>
      <c:valAx>
        <c:axId val="52453579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4532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R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Euler_1D_ro_var_p105!$G$2:$Q$2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ED-4852-8A00-3A42E7D61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95168"/>
        <c:axId val="510189920"/>
      </c:scatterChart>
      <c:valAx>
        <c:axId val="51019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189920"/>
        <c:crosses val="autoZero"/>
        <c:crossBetween val="midCat"/>
      </c:valAx>
      <c:valAx>
        <c:axId val="510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195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G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Euler_1D_ro_var_p105!$G$2:$Q$2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Euler_1D_ro_var_p105!$G$10:$Q$10</c:f>
              <c:numCache>
                <c:formatCode>0.000</c:formatCode>
                <c:ptCount val="11"/>
                <c:pt idx="0">
                  <c:v>0.45870806386156959</c:v>
                </c:pt>
                <c:pt idx="1">
                  <c:v>0.45870812460533095</c:v>
                </c:pt>
                <c:pt idx="2">
                  <c:v>0.45871145591527301</c:v>
                </c:pt>
                <c:pt idx="3">
                  <c:v>0.45871372830548984</c:v>
                </c:pt>
                <c:pt idx="4">
                  <c:v>0.45871501639313855</c:v>
                </c:pt>
                <c:pt idx="5">
                  <c:v>0.45871545258888685</c:v>
                </c:pt>
                <c:pt idx="6">
                  <c:v>0.4587152316086579</c:v>
                </c:pt>
                <c:pt idx="7">
                  <c:v>0.45871460463210123</c:v>
                </c:pt>
                <c:pt idx="8">
                  <c:v>0.4587138553142413</c:v>
                </c:pt>
                <c:pt idx="9">
                  <c:v>0.4587132493269841</c:v>
                </c:pt>
                <c:pt idx="10">
                  <c:v>0.45871295501253101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5C-49D4-A336-DB6F5D97F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773640"/>
        <c:axId val="646772656"/>
      </c:scatterChart>
      <c:valAx>
        <c:axId val="64677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6772656"/>
        <c:crosses val="autoZero"/>
        <c:crossBetween val="midCat"/>
      </c:valAx>
      <c:valAx>
        <c:axId val="64677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6773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Euler_1D_ro_var_p105!$G$2:$Q$2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Euler_1D_ro_var_p105!$G$13:$Q$13</c:f>
              <c:numCache>
                <c:formatCode>0.00</c:formatCode>
                <c:ptCount val="11"/>
                <c:pt idx="0" formatCode="General">
                  <c:v>17.992737600393198</c:v>
                </c:pt>
                <c:pt idx="1">
                  <c:v>19.943388155307954</c:v>
                </c:pt>
                <c:pt idx="2">
                  <c:v>22.231004219960848</c:v>
                </c:pt>
                <c:pt idx="3">
                  <c:v>24.938327106540772</c:v>
                </c:pt>
                <c:pt idx="4">
                  <c:v>28.175829139490641</c:v>
                </c:pt>
                <c:pt idx="5">
                  <c:v>32.093578487784306</c:v>
                </c:pt>
                <c:pt idx="6">
                  <c:v>36.900116114124799</c:v>
                </c:pt>
                <c:pt idx="7">
                  <c:v>42.89325322151965</c:v>
                </c:pt>
                <c:pt idx="8">
                  <c:v>50.512873003761477</c:v>
                </c:pt>
                <c:pt idx="9">
                  <c:v>60.437525078740791</c:v>
                </c:pt>
                <c:pt idx="10">
                  <c:v>73.77762115499101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40-4CFE-B1BF-100F465C69F4}"/>
            </c:ext>
          </c:extLst>
        </c:ser>
        <c:ser>
          <c:idx val="1"/>
          <c:order val="1"/>
          <c:tx>
            <c:v>U_3D</c:v>
          </c:tx>
          <c:spPr>
            <a:ln w="381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Euler_1D_ro_var_p105!$U$24:$Y$24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Euler_1D_ro_var_p105!$U$25:$Y$25</c:f>
              <c:numCache>
                <c:formatCode>0.00</c:formatCode>
                <c:ptCount val="5"/>
                <c:pt idx="0" formatCode="General">
                  <c:v>19.64</c:v>
                </c:pt>
                <c:pt idx="1">
                  <c:v>24.57</c:v>
                </c:pt>
                <c:pt idx="2">
                  <c:v>33.6</c:v>
                </c:pt>
                <c:pt idx="3">
                  <c:v>48.64</c:v>
                </c:pt>
                <c:pt idx="4">
                  <c:v>76.44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40-4CFE-B1BF-100F465C6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1160"/>
        <c:axId val="509436672"/>
      </c:scatterChart>
      <c:valAx>
        <c:axId val="512661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9436672"/>
        <c:crosses val="autoZero"/>
        <c:crossBetween val="midCat"/>
      </c:valAx>
      <c:valAx>
        <c:axId val="50943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1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Euler_1D_ro_var_p105!$G$2:$Q$2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Euler_1D_ro_var_p105!$G$14:$Q$14</c:f>
              <c:numCache>
                <c:formatCode>0</c:formatCode>
                <c:ptCount val="11"/>
                <c:pt idx="0">
                  <c:v>104794.75443622682</c:v>
                </c:pt>
                <c:pt idx="1">
                  <c:v>104745.44386664403</c:v>
                </c:pt>
                <c:pt idx="2">
                  <c:v>104681.01083327043</c:v>
                </c:pt>
                <c:pt idx="3">
                  <c:v>104595.5209979124</c:v>
                </c:pt>
                <c:pt idx="4">
                  <c:v>104480.1110229967</c:v>
                </c:pt>
                <c:pt idx="5">
                  <c:v>104321.20964270238</c:v>
                </c:pt>
                <c:pt idx="6">
                  <c:v>104097.41507249352</c:v>
                </c:pt>
                <c:pt idx="7">
                  <c:v>103773.7914797526</c:v>
                </c:pt>
                <c:pt idx="8">
                  <c:v>103290.90751689032</c:v>
                </c:pt>
                <c:pt idx="9">
                  <c:v>102542.39107757549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5E-45D2-9EF5-F818736DE526}"/>
            </c:ext>
          </c:extLst>
        </c:ser>
        <c:ser>
          <c:idx val="1"/>
          <c:order val="1"/>
          <c:tx>
            <c:v>p_3D</c:v>
          </c:tx>
          <c:spPr>
            <a:ln w="381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Euler_1D_ro_var_p105!$U$24:$Y$24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Euler_1D_ro_var_p105!$U$26:$Y$26</c:f>
              <c:numCache>
                <c:formatCode>0</c:formatCode>
                <c:ptCount val="5"/>
                <c:pt idx="0">
                  <c:v>104742</c:v>
                </c:pt>
                <c:pt idx="1">
                  <c:v>104613</c:v>
                </c:pt>
                <c:pt idx="2">
                  <c:v>104281</c:v>
                </c:pt>
                <c:pt idx="3">
                  <c:v>103498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5E-45D2-9EF5-F818736DE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532184"/>
        <c:axId val="524535792"/>
      </c:scatterChart>
      <c:valAx>
        <c:axId val="52453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4535792"/>
        <c:crosses val="autoZero"/>
        <c:crossBetween val="midCat"/>
      </c:valAx>
      <c:valAx>
        <c:axId val="52453579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4532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312963</xdr:colOff>
      <xdr:row>21</xdr:row>
      <xdr:rowOff>91166</xdr:rowOff>
    </xdr:from>
    <xdr:to>
      <xdr:col>9</xdr:col>
      <xdr:colOff>15875</xdr:colOff>
      <xdr:row>37</xdr:row>
      <xdr:rowOff>63499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C587EF8-C1EE-42DC-97B9-22DEBE8EA1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149678</xdr:rowOff>
    </xdr:from>
    <xdr:to>
      <xdr:col>16</xdr:col>
      <xdr:colOff>190500</xdr:colOff>
      <xdr:row>37</xdr:row>
      <xdr:rowOff>126999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E8A109B-81AE-47FE-8A0A-629028361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337910</xdr:colOff>
      <xdr:row>38</xdr:row>
      <xdr:rowOff>111124</xdr:rowOff>
    </xdr:from>
    <xdr:to>
      <xdr:col>8</xdr:col>
      <xdr:colOff>555626</xdr:colOff>
      <xdr:row>61</xdr:row>
      <xdr:rowOff>63500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77AEE66C-C5F2-43FF-8AD3-55DB6E78E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387803</xdr:colOff>
      <xdr:row>38</xdr:row>
      <xdr:rowOff>63499</xdr:rowOff>
    </xdr:from>
    <xdr:to>
      <xdr:col>18</xdr:col>
      <xdr:colOff>428625</xdr:colOff>
      <xdr:row>61</xdr:row>
      <xdr:rowOff>79375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8451868B-F07A-49E5-912F-E1C85B001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0.14286</cdr:x>
      <cdr:y>0.12289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717824" cy="3692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1" i="1"/>
            <a:t>R, m</a:t>
          </a:r>
          <a:endParaRPr lang="ru-RU" sz="1800" b="1" i="1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0.84467</cdr:x>
      <cdr:y>0.83948</cdr:y>
    </cdr:from>
    <cdr:to>
      <cdr:x>0.97835</cdr:x>
      <cdr:y>0.9527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334977" y="2535495"/>
          <a:ext cx="686060" cy="3419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0.03869</cdr:y>
    </cdr:from>
    <cdr:to>
      <cdr:x>0.26083</cdr:x>
      <cdr:y>0.19852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16242"/>
          <a:ext cx="1004427" cy="4802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 b="1"/>
            <a:t>G,[kg/s]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0.84749</cdr:x>
      <cdr:y>0.85832</cdr:y>
    </cdr:from>
    <cdr:to>
      <cdr:x>0.98827</cdr:x>
      <cdr:y>0.96852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440339" y="2596697"/>
          <a:ext cx="571500" cy="33337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0.1757</cdr:x>
      <cdr:y>0.10623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886205" cy="4603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1"/>
            <a:t>P, [Pa]</a:t>
          </a:r>
          <a:endParaRPr lang="ru-RU" sz="1800" b="1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0.84892</cdr:x>
      <cdr:y>0.87183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281714" y="2619375"/>
          <a:ext cx="762001" cy="38508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1.82813E-7</cdr:x>
      <cdr:y>0.00913</cdr:y>
    </cdr:from>
    <cdr:to>
      <cdr:x>0.15838</cdr:x>
      <cdr:y>0.10108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40162"/>
          <a:ext cx="866322" cy="404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 b="1"/>
            <a:t>U,[m/s] </a:t>
          </a:r>
          <a:endParaRPr lang="ru-RU" sz="1600" b="1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0.83655</cdr:x>
      <cdr:y>0.85722</cdr:y>
    </cdr:from>
    <cdr:to>
      <cdr:x>0.98477</cdr:x>
      <cdr:y>0.97044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487010" y="2762508"/>
          <a:ext cx="617812" cy="36486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544286</xdr:colOff>
      <xdr:row>26</xdr:row>
      <xdr:rowOff>36740</xdr:rowOff>
    </xdr:from>
    <xdr:to>
      <xdr:col>8</xdr:col>
      <xdr:colOff>217715</xdr:colOff>
      <xdr:row>40</xdr:row>
      <xdr:rowOff>112940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CA6B326-B85E-40E8-96C4-765B542A52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517071</xdr:colOff>
      <xdr:row>25</xdr:row>
      <xdr:rowOff>95250</xdr:rowOff>
    </xdr:from>
    <xdr:to>
      <xdr:col>2</xdr:col>
      <xdr:colOff>25609</xdr:colOff>
      <xdr:row>27</xdr:row>
      <xdr:rowOff>85409</xdr:rowOff>
    </xdr:to>
    <xdr:sp macro="" textlink="">
      <xdr:nvSpPr>
        <xdr:cNvPr id="8" name="TextBox 1">
          <a:extLst>
            <a:ext uri="{FF2B5EF4-FFF2-40B4-BE49-F238E27FC236}">
              <a16:creationId xmlns:a16="http://schemas.microsoft.com/office/drawing/2014/main" id="{8BD1F1C9-58CF-4F93-AA80-8D9A5892F72A}"/>
            </a:ext>
          </a:extLst>
        </xdr:cNvPr>
        <xdr:cNvSpPr txBox="1"/>
      </xdr:nvSpPr>
      <xdr:spPr>
        <a:xfrm>
          <a:off x="517071" y="4857750"/>
          <a:ext cx="733181" cy="371159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 i="1"/>
            <a:t>R, m</a:t>
          </a:r>
          <a:endParaRPr lang="ru-RU" sz="1800" b="1" i="1"/>
        </a:p>
      </xdr:txBody>
    </xdr:sp>
    <xdr:clientData/>
  </xdr:twoCellAnchor>
  <xdr:twoCellAnchor>
    <xdr:from>
      <xdr:col>7</xdr:col>
      <xdr:colOff>272143</xdr:colOff>
      <xdr:row>38</xdr:row>
      <xdr:rowOff>122464</xdr:rowOff>
    </xdr:from>
    <xdr:to>
      <xdr:col>8</xdr:col>
      <xdr:colOff>345882</xdr:colOff>
      <xdr:row>40</xdr:row>
      <xdr:rowOff>83427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5ABD78AD-4DB4-4CFC-ACB5-6A175B6143B2}"/>
            </a:ext>
          </a:extLst>
        </xdr:cNvPr>
        <xdr:cNvSpPr txBox="1"/>
      </xdr:nvSpPr>
      <xdr:spPr>
        <a:xfrm>
          <a:off x="4558393" y="7361464"/>
          <a:ext cx="686060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10</xdr:col>
      <xdr:colOff>122465</xdr:colOff>
      <xdr:row>25</xdr:row>
      <xdr:rowOff>145595</xdr:rowOff>
    </xdr:from>
    <xdr:to>
      <xdr:col>17</xdr:col>
      <xdr:colOff>408215</xdr:colOff>
      <xdr:row>40</xdr:row>
      <xdr:rowOff>31295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F63A5AC1-CD5A-454E-BB1C-25EF168939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16329</xdr:colOff>
      <xdr:row>38</xdr:row>
      <xdr:rowOff>43542</xdr:rowOff>
    </xdr:from>
    <xdr:to>
      <xdr:col>17</xdr:col>
      <xdr:colOff>90068</xdr:colOff>
      <xdr:row>40</xdr:row>
      <xdr:rowOff>4505</xdr:rowOff>
    </xdr:to>
    <xdr:sp macro="" textlink="">
      <xdr:nvSpPr>
        <xdr:cNvPr id="11" name="TextBox 1">
          <a:extLst>
            <a:ext uri="{FF2B5EF4-FFF2-40B4-BE49-F238E27FC236}">
              <a16:creationId xmlns:a16="http://schemas.microsoft.com/office/drawing/2014/main" id="{2F0B98AF-9F79-4CF6-8E02-1DE0F35B9B8C}"/>
            </a:ext>
          </a:extLst>
        </xdr:cNvPr>
        <xdr:cNvSpPr txBox="1"/>
      </xdr:nvSpPr>
      <xdr:spPr>
        <a:xfrm>
          <a:off x="9813472" y="7282542"/>
          <a:ext cx="686060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10</xdr:col>
      <xdr:colOff>13608</xdr:colOff>
      <xdr:row>25</xdr:row>
      <xdr:rowOff>68036</xdr:rowOff>
    </xdr:from>
    <xdr:to>
      <xdr:col>11</xdr:col>
      <xdr:colOff>460133</xdr:colOff>
      <xdr:row>27</xdr:row>
      <xdr:rowOff>108858</xdr:rowOff>
    </xdr:to>
    <xdr:sp macro="" textlink="">
      <xdr:nvSpPr>
        <xdr:cNvPr id="13" name="TextBox 1">
          <a:extLst>
            <a:ext uri="{FF2B5EF4-FFF2-40B4-BE49-F238E27FC236}">
              <a16:creationId xmlns:a16="http://schemas.microsoft.com/office/drawing/2014/main" id="{97AA901E-30D3-459A-BA67-14FA1DCD9125}"/>
            </a:ext>
          </a:extLst>
        </xdr:cNvPr>
        <xdr:cNvSpPr txBox="1"/>
      </xdr:nvSpPr>
      <xdr:spPr>
        <a:xfrm>
          <a:off x="6136822" y="4830536"/>
          <a:ext cx="1058847" cy="421822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G,[kg/s]</a:t>
          </a:r>
          <a:endParaRPr lang="ru-RU" sz="1100"/>
        </a:p>
      </xdr:txBody>
    </xdr:sp>
    <xdr:clientData/>
  </xdr:twoCellAnchor>
  <xdr:twoCellAnchor>
    <xdr:from>
      <xdr:col>10</xdr:col>
      <xdr:colOff>204108</xdr:colOff>
      <xdr:row>42</xdr:row>
      <xdr:rowOff>131989</xdr:rowOff>
    </xdr:from>
    <xdr:to>
      <xdr:col>17</xdr:col>
      <xdr:colOff>489858</xdr:colOff>
      <xdr:row>57</xdr:row>
      <xdr:rowOff>17689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217EBCE0-A8B0-4EF7-AFC7-49C3945AB2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386443</xdr:colOff>
      <xdr:row>54</xdr:row>
      <xdr:rowOff>19049</xdr:rowOff>
    </xdr:from>
    <xdr:to>
      <xdr:col>17</xdr:col>
      <xdr:colOff>460182</xdr:colOff>
      <xdr:row>55</xdr:row>
      <xdr:rowOff>170512</xdr:rowOff>
    </xdr:to>
    <xdr:sp macro="" textlink="">
      <xdr:nvSpPr>
        <xdr:cNvPr id="15" name="TextBox 1">
          <a:extLst>
            <a:ext uri="{FF2B5EF4-FFF2-40B4-BE49-F238E27FC236}">
              <a16:creationId xmlns:a16="http://schemas.microsoft.com/office/drawing/2014/main" id="{634AF2B3-094A-4AD8-9E32-C4AD4AE0F0DB}"/>
            </a:ext>
          </a:extLst>
        </xdr:cNvPr>
        <xdr:cNvSpPr txBox="1"/>
      </xdr:nvSpPr>
      <xdr:spPr>
        <a:xfrm>
          <a:off x="10183586" y="10306049"/>
          <a:ext cx="686060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10</xdr:col>
      <xdr:colOff>155122</xdr:colOff>
      <xdr:row>42</xdr:row>
      <xdr:rowOff>127906</xdr:rowOff>
    </xdr:from>
    <xdr:to>
      <xdr:col>11</xdr:col>
      <xdr:colOff>409122</xdr:colOff>
      <xdr:row>44</xdr:row>
      <xdr:rowOff>151245</xdr:rowOff>
    </xdr:to>
    <xdr:sp macro="" textlink="">
      <xdr:nvSpPr>
        <xdr:cNvPr id="16" name="TextBox 1">
          <a:extLst>
            <a:ext uri="{FF2B5EF4-FFF2-40B4-BE49-F238E27FC236}">
              <a16:creationId xmlns:a16="http://schemas.microsoft.com/office/drawing/2014/main" id="{8E29CFAA-CE7C-4B52-BEA0-B546326F67B7}"/>
            </a:ext>
          </a:extLst>
        </xdr:cNvPr>
        <xdr:cNvSpPr txBox="1"/>
      </xdr:nvSpPr>
      <xdr:spPr>
        <a:xfrm>
          <a:off x="6278336" y="8128906"/>
          <a:ext cx="866322" cy="404339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U,[m/s] </a:t>
          </a:r>
          <a:endParaRPr lang="ru-RU" sz="1600" b="1"/>
        </a:p>
      </xdr:txBody>
    </xdr:sp>
    <xdr:clientData/>
  </xdr:twoCellAnchor>
  <xdr:twoCellAnchor>
    <xdr:from>
      <xdr:col>1</xdr:col>
      <xdr:colOff>40822</xdr:colOff>
      <xdr:row>42</xdr:row>
      <xdr:rowOff>9524</xdr:rowOff>
    </xdr:from>
    <xdr:to>
      <xdr:col>8</xdr:col>
      <xdr:colOff>326572</xdr:colOff>
      <xdr:row>56</xdr:row>
      <xdr:rowOff>85724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E48F8538-1039-4E12-BE5D-0D4C3750DF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307521</xdr:colOff>
      <xdr:row>54</xdr:row>
      <xdr:rowOff>103414</xdr:rowOff>
    </xdr:from>
    <xdr:to>
      <xdr:col>8</xdr:col>
      <xdr:colOff>381260</xdr:colOff>
      <xdr:row>56</xdr:row>
      <xdr:rowOff>64377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216C8AC8-6FC5-4FC8-B2B5-27A60A059A1B}"/>
            </a:ext>
          </a:extLst>
        </xdr:cNvPr>
        <xdr:cNvSpPr txBox="1"/>
      </xdr:nvSpPr>
      <xdr:spPr>
        <a:xfrm>
          <a:off x="4593771" y="10390414"/>
          <a:ext cx="686060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</xdr:col>
      <xdr:colOff>48986</xdr:colOff>
      <xdr:row>41</xdr:row>
      <xdr:rowOff>89807</xdr:rowOff>
    </xdr:from>
    <xdr:to>
      <xdr:col>2</xdr:col>
      <xdr:colOff>322869</xdr:colOff>
      <xdr:row>43</xdr:row>
      <xdr:rowOff>169183</xdr:rowOff>
    </xdr:to>
    <xdr:sp macro="" textlink="">
      <xdr:nvSpPr>
        <xdr:cNvPr id="19" name="TextBox 1">
          <a:extLst>
            <a:ext uri="{FF2B5EF4-FFF2-40B4-BE49-F238E27FC236}">
              <a16:creationId xmlns:a16="http://schemas.microsoft.com/office/drawing/2014/main" id="{2ED601BA-AC08-4080-9B05-9BE52AEC6BAE}"/>
            </a:ext>
          </a:extLst>
        </xdr:cNvPr>
        <xdr:cNvSpPr txBox="1"/>
      </xdr:nvSpPr>
      <xdr:spPr>
        <a:xfrm>
          <a:off x="661307" y="7900307"/>
          <a:ext cx="886205" cy="460376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P, [Pa]</a:t>
          </a:r>
          <a:endParaRPr lang="ru-RU" sz="18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544286</xdr:colOff>
      <xdr:row>26</xdr:row>
      <xdr:rowOff>36740</xdr:rowOff>
    </xdr:from>
    <xdr:to>
      <xdr:col>8</xdr:col>
      <xdr:colOff>217715</xdr:colOff>
      <xdr:row>40</xdr:row>
      <xdr:rowOff>112940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394F17D2-0510-4AC8-A106-503CEA838A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517071</xdr:colOff>
      <xdr:row>25</xdr:row>
      <xdr:rowOff>95250</xdr:rowOff>
    </xdr:from>
    <xdr:to>
      <xdr:col>2</xdr:col>
      <xdr:colOff>25609</xdr:colOff>
      <xdr:row>27</xdr:row>
      <xdr:rowOff>85409</xdr:rowOff>
    </xdr:to>
    <xdr:sp macro="" textlink="">
      <xdr:nvSpPr>
        <xdr:cNvPr id="7" name="TextBox 1">
          <a:extLst>
            <a:ext uri="{FF2B5EF4-FFF2-40B4-BE49-F238E27FC236}">
              <a16:creationId xmlns:a16="http://schemas.microsoft.com/office/drawing/2014/main" id="{A0BBA7FA-85FC-4F34-A6FC-03437A02C0FD}"/>
            </a:ext>
          </a:extLst>
        </xdr:cNvPr>
        <xdr:cNvSpPr txBox="1"/>
      </xdr:nvSpPr>
      <xdr:spPr>
        <a:xfrm>
          <a:off x="517071" y="4857750"/>
          <a:ext cx="727738" cy="371159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 i="1"/>
            <a:t>R, m</a:t>
          </a:r>
          <a:endParaRPr lang="ru-RU" sz="1800" b="1" i="1"/>
        </a:p>
      </xdr:txBody>
    </xdr:sp>
    <xdr:clientData/>
  </xdr:twoCellAnchor>
  <xdr:twoCellAnchor>
    <xdr:from>
      <xdr:col>7</xdr:col>
      <xdr:colOff>272143</xdr:colOff>
      <xdr:row>38</xdr:row>
      <xdr:rowOff>122464</xdr:rowOff>
    </xdr:from>
    <xdr:to>
      <xdr:col>8</xdr:col>
      <xdr:colOff>345882</xdr:colOff>
      <xdr:row>40</xdr:row>
      <xdr:rowOff>83427</xdr:rowOff>
    </xdr:to>
    <xdr:sp macro="" textlink="">
      <xdr:nvSpPr>
        <xdr:cNvPr id="8" name="TextBox 1">
          <a:extLst>
            <a:ext uri="{FF2B5EF4-FFF2-40B4-BE49-F238E27FC236}">
              <a16:creationId xmlns:a16="http://schemas.microsoft.com/office/drawing/2014/main" id="{71206186-F0D7-4A70-AB22-D2BB893DB6B8}"/>
            </a:ext>
          </a:extLst>
        </xdr:cNvPr>
        <xdr:cNvSpPr txBox="1"/>
      </xdr:nvSpPr>
      <xdr:spPr>
        <a:xfrm>
          <a:off x="4539343" y="7361464"/>
          <a:ext cx="683339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10</xdr:col>
      <xdr:colOff>122465</xdr:colOff>
      <xdr:row>25</xdr:row>
      <xdr:rowOff>145595</xdr:rowOff>
    </xdr:from>
    <xdr:to>
      <xdr:col>17</xdr:col>
      <xdr:colOff>408215</xdr:colOff>
      <xdr:row>40</xdr:row>
      <xdr:rowOff>31295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C980DD5-3ED7-4EDF-98CF-0A0FF6994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16329</xdr:colOff>
      <xdr:row>38</xdr:row>
      <xdr:rowOff>43542</xdr:rowOff>
    </xdr:from>
    <xdr:to>
      <xdr:col>17</xdr:col>
      <xdr:colOff>90068</xdr:colOff>
      <xdr:row>40</xdr:row>
      <xdr:rowOff>4505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466DDCC2-5BF5-4DA2-90AD-85CCC4B2F69C}"/>
            </a:ext>
          </a:extLst>
        </xdr:cNvPr>
        <xdr:cNvSpPr txBox="1"/>
      </xdr:nvSpPr>
      <xdr:spPr>
        <a:xfrm>
          <a:off x="9769929" y="7282542"/>
          <a:ext cx="683339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10</xdr:col>
      <xdr:colOff>13608</xdr:colOff>
      <xdr:row>25</xdr:row>
      <xdr:rowOff>68036</xdr:rowOff>
    </xdr:from>
    <xdr:to>
      <xdr:col>11</xdr:col>
      <xdr:colOff>460133</xdr:colOff>
      <xdr:row>27</xdr:row>
      <xdr:rowOff>108858</xdr:rowOff>
    </xdr:to>
    <xdr:sp macro="" textlink="">
      <xdr:nvSpPr>
        <xdr:cNvPr id="11" name="TextBox 1">
          <a:extLst>
            <a:ext uri="{FF2B5EF4-FFF2-40B4-BE49-F238E27FC236}">
              <a16:creationId xmlns:a16="http://schemas.microsoft.com/office/drawing/2014/main" id="{D3C179C2-8387-4397-BBA5-3B5EE86B644C}"/>
            </a:ext>
          </a:extLst>
        </xdr:cNvPr>
        <xdr:cNvSpPr txBox="1"/>
      </xdr:nvSpPr>
      <xdr:spPr>
        <a:xfrm>
          <a:off x="6109608" y="4830536"/>
          <a:ext cx="1056125" cy="421822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G,[kg/s]</a:t>
          </a:r>
          <a:endParaRPr lang="ru-RU" sz="1100"/>
        </a:p>
      </xdr:txBody>
    </xdr:sp>
    <xdr:clientData/>
  </xdr:twoCellAnchor>
  <xdr:twoCellAnchor>
    <xdr:from>
      <xdr:col>10</xdr:col>
      <xdr:colOff>204108</xdr:colOff>
      <xdr:row>42</xdr:row>
      <xdr:rowOff>131989</xdr:rowOff>
    </xdr:from>
    <xdr:to>
      <xdr:col>17</xdr:col>
      <xdr:colOff>489858</xdr:colOff>
      <xdr:row>57</xdr:row>
      <xdr:rowOff>17689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99633FD7-CD65-4B7B-95FD-463CBD38F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386443</xdr:colOff>
      <xdr:row>54</xdr:row>
      <xdr:rowOff>19049</xdr:rowOff>
    </xdr:from>
    <xdr:to>
      <xdr:col>17</xdr:col>
      <xdr:colOff>460182</xdr:colOff>
      <xdr:row>55</xdr:row>
      <xdr:rowOff>170512</xdr:rowOff>
    </xdr:to>
    <xdr:sp macro="" textlink="">
      <xdr:nvSpPr>
        <xdr:cNvPr id="13" name="TextBox 1">
          <a:extLst>
            <a:ext uri="{FF2B5EF4-FFF2-40B4-BE49-F238E27FC236}">
              <a16:creationId xmlns:a16="http://schemas.microsoft.com/office/drawing/2014/main" id="{99E64332-DFE4-4ADF-8333-3BECBCB1ACBD}"/>
            </a:ext>
          </a:extLst>
        </xdr:cNvPr>
        <xdr:cNvSpPr txBox="1"/>
      </xdr:nvSpPr>
      <xdr:spPr>
        <a:xfrm>
          <a:off x="10140043" y="10306049"/>
          <a:ext cx="683339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10</xdr:col>
      <xdr:colOff>155122</xdr:colOff>
      <xdr:row>42</xdr:row>
      <xdr:rowOff>127906</xdr:rowOff>
    </xdr:from>
    <xdr:to>
      <xdr:col>11</xdr:col>
      <xdr:colOff>409122</xdr:colOff>
      <xdr:row>44</xdr:row>
      <xdr:rowOff>151245</xdr:rowOff>
    </xdr:to>
    <xdr:sp macro="" textlink="">
      <xdr:nvSpPr>
        <xdr:cNvPr id="14" name="TextBox 1">
          <a:extLst>
            <a:ext uri="{FF2B5EF4-FFF2-40B4-BE49-F238E27FC236}">
              <a16:creationId xmlns:a16="http://schemas.microsoft.com/office/drawing/2014/main" id="{B450D914-03FE-4CD3-911F-1C2B9A77BD83}"/>
            </a:ext>
          </a:extLst>
        </xdr:cNvPr>
        <xdr:cNvSpPr txBox="1"/>
      </xdr:nvSpPr>
      <xdr:spPr>
        <a:xfrm>
          <a:off x="6251122" y="8128906"/>
          <a:ext cx="863600" cy="404339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U,[m/s] </a:t>
          </a:r>
          <a:endParaRPr lang="ru-RU" sz="1600" b="1"/>
        </a:p>
      </xdr:txBody>
    </xdr:sp>
    <xdr:clientData/>
  </xdr:twoCellAnchor>
  <xdr:twoCellAnchor>
    <xdr:from>
      <xdr:col>1</xdr:col>
      <xdr:colOff>40822</xdr:colOff>
      <xdr:row>42</xdr:row>
      <xdr:rowOff>9524</xdr:rowOff>
    </xdr:from>
    <xdr:to>
      <xdr:col>8</xdr:col>
      <xdr:colOff>326572</xdr:colOff>
      <xdr:row>56</xdr:row>
      <xdr:rowOff>85724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0A873CD-9E9F-4379-9CCC-70EE057163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307521</xdr:colOff>
      <xdr:row>54</xdr:row>
      <xdr:rowOff>103414</xdr:rowOff>
    </xdr:from>
    <xdr:to>
      <xdr:col>8</xdr:col>
      <xdr:colOff>381260</xdr:colOff>
      <xdr:row>56</xdr:row>
      <xdr:rowOff>64377</xdr:rowOff>
    </xdr:to>
    <xdr:sp macro="" textlink="">
      <xdr:nvSpPr>
        <xdr:cNvPr id="16" name="TextBox 1">
          <a:extLst>
            <a:ext uri="{FF2B5EF4-FFF2-40B4-BE49-F238E27FC236}">
              <a16:creationId xmlns:a16="http://schemas.microsoft.com/office/drawing/2014/main" id="{A3813A10-BB6A-4756-9AEC-52F5ADDBBAF7}"/>
            </a:ext>
          </a:extLst>
        </xdr:cNvPr>
        <xdr:cNvSpPr txBox="1"/>
      </xdr:nvSpPr>
      <xdr:spPr>
        <a:xfrm>
          <a:off x="4574721" y="10390414"/>
          <a:ext cx="683339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</xdr:col>
      <xdr:colOff>48986</xdr:colOff>
      <xdr:row>41</xdr:row>
      <xdr:rowOff>89807</xdr:rowOff>
    </xdr:from>
    <xdr:to>
      <xdr:col>2</xdr:col>
      <xdr:colOff>322869</xdr:colOff>
      <xdr:row>43</xdr:row>
      <xdr:rowOff>169183</xdr:rowOff>
    </xdr:to>
    <xdr:sp macro="" textlink="">
      <xdr:nvSpPr>
        <xdr:cNvPr id="17" name="TextBox 1">
          <a:extLst>
            <a:ext uri="{FF2B5EF4-FFF2-40B4-BE49-F238E27FC236}">
              <a16:creationId xmlns:a16="http://schemas.microsoft.com/office/drawing/2014/main" id="{99DE5493-7901-41CD-8858-54B2EA6AC982}"/>
            </a:ext>
          </a:extLst>
        </xdr:cNvPr>
        <xdr:cNvSpPr txBox="1"/>
      </xdr:nvSpPr>
      <xdr:spPr>
        <a:xfrm>
          <a:off x="658586" y="7900307"/>
          <a:ext cx="883483" cy="460376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P, [Pa]</a:t>
          </a:r>
          <a:endParaRPr lang="ru-RU" sz="18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544286</xdr:colOff>
      <xdr:row>26</xdr:row>
      <xdr:rowOff>36740</xdr:rowOff>
    </xdr:from>
    <xdr:to>
      <xdr:col>8</xdr:col>
      <xdr:colOff>217715</xdr:colOff>
      <xdr:row>40</xdr:row>
      <xdr:rowOff>112940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E5DAFB-1A2A-454B-AB31-89BBC2458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517071</xdr:colOff>
      <xdr:row>25</xdr:row>
      <xdr:rowOff>95250</xdr:rowOff>
    </xdr:from>
    <xdr:to>
      <xdr:col>2</xdr:col>
      <xdr:colOff>25609</xdr:colOff>
      <xdr:row>27</xdr:row>
      <xdr:rowOff>85409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799A2B64-DE4A-4596-8DD8-2B6F562F6DDF}"/>
            </a:ext>
          </a:extLst>
        </xdr:cNvPr>
        <xdr:cNvSpPr txBox="1"/>
      </xdr:nvSpPr>
      <xdr:spPr>
        <a:xfrm>
          <a:off x="517071" y="4857750"/>
          <a:ext cx="727738" cy="371159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 i="1"/>
            <a:t>R, m</a:t>
          </a:r>
          <a:endParaRPr lang="ru-RU" sz="1800" b="1" i="1"/>
        </a:p>
      </xdr:txBody>
    </xdr:sp>
    <xdr:clientData/>
  </xdr:twoCellAnchor>
  <xdr:twoCellAnchor>
    <xdr:from>
      <xdr:col>6</xdr:col>
      <xdr:colOff>489857</xdr:colOff>
      <xdr:row>38</xdr:row>
      <xdr:rowOff>163286</xdr:rowOff>
    </xdr:from>
    <xdr:to>
      <xdr:col>7</xdr:col>
      <xdr:colOff>563596</xdr:colOff>
      <xdr:row>40</xdr:row>
      <xdr:rowOff>124249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1DE95C09-8F00-47AC-AC61-B9D9C50731CB}"/>
            </a:ext>
          </a:extLst>
        </xdr:cNvPr>
        <xdr:cNvSpPr txBox="1"/>
      </xdr:nvSpPr>
      <xdr:spPr>
        <a:xfrm>
          <a:off x="4163786" y="7402286"/>
          <a:ext cx="686060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10</xdr:col>
      <xdr:colOff>122465</xdr:colOff>
      <xdr:row>25</xdr:row>
      <xdr:rowOff>145595</xdr:rowOff>
    </xdr:from>
    <xdr:to>
      <xdr:col>17</xdr:col>
      <xdr:colOff>408215</xdr:colOff>
      <xdr:row>40</xdr:row>
      <xdr:rowOff>31295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0F7BCC1-7D47-4849-A836-851CD46405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16329</xdr:colOff>
      <xdr:row>38</xdr:row>
      <xdr:rowOff>43542</xdr:rowOff>
    </xdr:from>
    <xdr:to>
      <xdr:col>17</xdr:col>
      <xdr:colOff>90068</xdr:colOff>
      <xdr:row>40</xdr:row>
      <xdr:rowOff>4505</xdr:rowOff>
    </xdr:to>
    <xdr:sp macro="" textlink="">
      <xdr:nvSpPr>
        <xdr:cNvPr id="6" name="TextBox 1">
          <a:extLst>
            <a:ext uri="{FF2B5EF4-FFF2-40B4-BE49-F238E27FC236}">
              <a16:creationId xmlns:a16="http://schemas.microsoft.com/office/drawing/2014/main" id="{AD08668C-0861-4161-BF79-F50821D339CE}"/>
            </a:ext>
          </a:extLst>
        </xdr:cNvPr>
        <xdr:cNvSpPr txBox="1"/>
      </xdr:nvSpPr>
      <xdr:spPr>
        <a:xfrm>
          <a:off x="9769929" y="7282542"/>
          <a:ext cx="683339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10</xdr:col>
      <xdr:colOff>13608</xdr:colOff>
      <xdr:row>25</xdr:row>
      <xdr:rowOff>68036</xdr:rowOff>
    </xdr:from>
    <xdr:to>
      <xdr:col>11</xdr:col>
      <xdr:colOff>460133</xdr:colOff>
      <xdr:row>27</xdr:row>
      <xdr:rowOff>108858</xdr:rowOff>
    </xdr:to>
    <xdr:sp macro="" textlink="">
      <xdr:nvSpPr>
        <xdr:cNvPr id="7" name="TextBox 1">
          <a:extLst>
            <a:ext uri="{FF2B5EF4-FFF2-40B4-BE49-F238E27FC236}">
              <a16:creationId xmlns:a16="http://schemas.microsoft.com/office/drawing/2014/main" id="{6496B05D-0B65-460C-847D-D5819E16FDD7}"/>
            </a:ext>
          </a:extLst>
        </xdr:cNvPr>
        <xdr:cNvSpPr txBox="1"/>
      </xdr:nvSpPr>
      <xdr:spPr>
        <a:xfrm>
          <a:off x="6109608" y="4830536"/>
          <a:ext cx="1056125" cy="421822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G,[kg/s]</a:t>
          </a:r>
          <a:endParaRPr lang="ru-RU" sz="1100"/>
        </a:p>
      </xdr:txBody>
    </xdr:sp>
    <xdr:clientData/>
  </xdr:twoCellAnchor>
  <xdr:twoCellAnchor>
    <xdr:from>
      <xdr:col>10</xdr:col>
      <xdr:colOff>204108</xdr:colOff>
      <xdr:row>42</xdr:row>
      <xdr:rowOff>131989</xdr:rowOff>
    </xdr:from>
    <xdr:to>
      <xdr:col>17</xdr:col>
      <xdr:colOff>489858</xdr:colOff>
      <xdr:row>57</xdr:row>
      <xdr:rowOff>17689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E65F14E-B99F-4C02-8F91-05C4A0D6D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386443</xdr:colOff>
      <xdr:row>54</xdr:row>
      <xdr:rowOff>19049</xdr:rowOff>
    </xdr:from>
    <xdr:to>
      <xdr:col>17</xdr:col>
      <xdr:colOff>460182</xdr:colOff>
      <xdr:row>55</xdr:row>
      <xdr:rowOff>170512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5936A910-3E91-4E5D-BBE9-18CD1D171B62}"/>
            </a:ext>
          </a:extLst>
        </xdr:cNvPr>
        <xdr:cNvSpPr txBox="1"/>
      </xdr:nvSpPr>
      <xdr:spPr>
        <a:xfrm>
          <a:off x="10140043" y="10306049"/>
          <a:ext cx="683339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10</xdr:col>
      <xdr:colOff>155122</xdr:colOff>
      <xdr:row>42</xdr:row>
      <xdr:rowOff>127906</xdr:rowOff>
    </xdr:from>
    <xdr:to>
      <xdr:col>11</xdr:col>
      <xdr:colOff>409122</xdr:colOff>
      <xdr:row>44</xdr:row>
      <xdr:rowOff>151245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B911D725-A9D7-4055-9ADE-147A44916F79}"/>
            </a:ext>
          </a:extLst>
        </xdr:cNvPr>
        <xdr:cNvSpPr txBox="1"/>
      </xdr:nvSpPr>
      <xdr:spPr>
        <a:xfrm>
          <a:off x="6251122" y="8128906"/>
          <a:ext cx="863600" cy="404339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U,[m/s] </a:t>
          </a:r>
          <a:endParaRPr lang="ru-RU" sz="1600" b="1"/>
        </a:p>
      </xdr:txBody>
    </xdr:sp>
    <xdr:clientData/>
  </xdr:twoCellAnchor>
  <xdr:twoCellAnchor>
    <xdr:from>
      <xdr:col>1</xdr:col>
      <xdr:colOff>40822</xdr:colOff>
      <xdr:row>42</xdr:row>
      <xdr:rowOff>9524</xdr:rowOff>
    </xdr:from>
    <xdr:to>
      <xdr:col>8</xdr:col>
      <xdr:colOff>326572</xdr:colOff>
      <xdr:row>56</xdr:row>
      <xdr:rowOff>85724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89B20E1-6C70-4D27-8703-2718A844D3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307521</xdr:colOff>
      <xdr:row>54</xdr:row>
      <xdr:rowOff>103414</xdr:rowOff>
    </xdr:from>
    <xdr:to>
      <xdr:col>8</xdr:col>
      <xdr:colOff>381260</xdr:colOff>
      <xdr:row>56</xdr:row>
      <xdr:rowOff>64377</xdr:rowOff>
    </xdr:to>
    <xdr:sp macro="" textlink="">
      <xdr:nvSpPr>
        <xdr:cNvPr id="12" name="TextBox 1">
          <a:extLst>
            <a:ext uri="{FF2B5EF4-FFF2-40B4-BE49-F238E27FC236}">
              <a16:creationId xmlns:a16="http://schemas.microsoft.com/office/drawing/2014/main" id="{2391533F-C97A-4D9B-BD69-17BC60FCB00A}"/>
            </a:ext>
          </a:extLst>
        </xdr:cNvPr>
        <xdr:cNvSpPr txBox="1"/>
      </xdr:nvSpPr>
      <xdr:spPr>
        <a:xfrm>
          <a:off x="4574721" y="10390414"/>
          <a:ext cx="683339" cy="341963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X,</a:t>
          </a:r>
          <a:r>
            <a:rPr lang="en-US" sz="1800" b="1" baseline="0"/>
            <a:t> m</a:t>
          </a:r>
          <a:endParaRPr lang="ru-RU" sz="1800" b="1"/>
        </a:p>
      </xdr:txBody>
    </xdr:sp>
    <xdr:clientData/>
  </xdr:twoCellAnchor>
  <xdr:twoCellAnchor>
    <xdr:from>
      <xdr:col>1</xdr:col>
      <xdr:colOff>48986</xdr:colOff>
      <xdr:row>41</xdr:row>
      <xdr:rowOff>89807</xdr:rowOff>
    </xdr:from>
    <xdr:to>
      <xdr:col>2</xdr:col>
      <xdr:colOff>322869</xdr:colOff>
      <xdr:row>43</xdr:row>
      <xdr:rowOff>169183</xdr:rowOff>
    </xdr:to>
    <xdr:sp macro="" textlink="">
      <xdr:nvSpPr>
        <xdr:cNvPr id="13" name="TextBox 1">
          <a:extLst>
            <a:ext uri="{FF2B5EF4-FFF2-40B4-BE49-F238E27FC236}">
              <a16:creationId xmlns:a16="http://schemas.microsoft.com/office/drawing/2014/main" id="{A9D54C59-6551-4060-8DCB-6500F58A02F8}"/>
            </a:ext>
          </a:extLst>
        </xdr:cNvPr>
        <xdr:cNvSpPr txBox="1"/>
      </xdr:nvSpPr>
      <xdr:spPr>
        <a:xfrm>
          <a:off x="658586" y="7900307"/>
          <a:ext cx="883483" cy="460376"/>
        </a:xfrm>
        <a:prstGeom prst="rect">
          <a:avLst/>
        </a:prstGeom>
        <a:solidFill>
          <a:schemeClr val="bg1"/>
        </a:solidFill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P, [Pa]</a:t>
          </a:r>
          <a:endParaRPr lang="ru-RU" sz="18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MKR5_Bodrov%20A.A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p_135"/>
      <sheetName val="var_p_135"/>
      <sheetName val="const_p_105"/>
      <sheetName val="var_p_105"/>
    </sheetNames>
    <sheetDataSet>
      <sheetData sheetId="0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5">
          <cell r="G5">
            <v>57.345863662693617</v>
          </cell>
          <cell r="H5">
            <v>63.541273244471491</v>
          </cell>
          <cell r="I5">
            <v>70.806929022965377</v>
          </cell>
          <cell r="J5">
            <v>79.397519650294129</v>
          </cell>
          <cell r="K5">
            <v>89.652956402094503</v>
          </cell>
          <cell r="L5">
            <v>102.02955520689169</v>
          </cell>
          <cell r="M5">
            <v>117.15172537059544</v>
          </cell>
          <cell r="N5">
            <v>135.8927282316663</v>
          </cell>
          <cell r="O5">
            <v>159.50475198776715</v>
          </cell>
          <cell r="P5">
            <v>189.83572747710332</v>
          </cell>
          <cell r="Q5">
            <v>229.70519916278516</v>
          </cell>
        </row>
        <row r="6">
          <cell r="G6">
            <v>133051.53526306202</v>
          </cell>
          <cell r="H6">
            <v>132585.0204570019</v>
          </cell>
          <cell r="I6">
            <v>131975.35096062184</v>
          </cell>
          <cell r="J6">
            <v>131167.04864642158</v>
          </cell>
          <cell r="K6">
            <v>130077.46773118924</v>
          </cell>
          <cell r="L6">
            <v>128581.01478432902</v>
          </cell>
          <cell r="M6">
            <v>126481.62501993927</v>
          </cell>
          <cell r="N6">
            <v>123463.65894101333</v>
          </cell>
          <cell r="O6">
            <v>119000.64254371547</v>
          </cell>
          <cell r="P6">
            <v>112177.50864414575</v>
          </cell>
          <cell r="Q6">
            <v>101325</v>
          </cell>
        </row>
        <row r="10">
          <cell r="G10">
            <v>1.3663165238514254</v>
          </cell>
          <cell r="H10">
            <v>1.3663197670643263</v>
          </cell>
          <cell r="I10">
            <v>1.3665020425140293</v>
          </cell>
          <cell r="J10">
            <v>1.3667666214711018</v>
          </cell>
          <cell r="K10">
            <v>1.3670804272061059</v>
          </cell>
          <cell r="L10">
            <v>1.3674069190133782</v>
          </cell>
          <cell r="M10">
            <v>1.3677090959522973</v>
          </cell>
          <cell r="N10">
            <v>1.3679543599839599</v>
          </cell>
          <cell r="O10">
            <v>1.3681211846855306</v>
          </cell>
          <cell r="P10">
            <v>1.3682064201253556</v>
          </cell>
          <cell r="Q10">
            <v>1.3682298874393872</v>
          </cell>
        </row>
      </sheetData>
      <sheetData sheetId="1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1.366645195577177</v>
          </cell>
          <cell r="H10">
            <v>1.3666347344859844</v>
          </cell>
          <cell r="I10">
            <v>1.3660677312876293</v>
          </cell>
          <cell r="J10">
            <v>1.3658167470418781</v>
          </cell>
          <cell r="K10">
            <v>1.3658483209918184</v>
          </cell>
          <cell r="L10">
            <v>1.3661125638138347</v>
          </cell>
          <cell r="M10">
            <v>1.3665415729811596</v>
          </cell>
          <cell r="N10">
            <v>1.3670502324775375</v>
          </cell>
          <cell r="O10">
            <v>1.3675415476349411</v>
          </cell>
          <cell r="P10">
            <v>1.3679195404148627</v>
          </cell>
          <cell r="Q10">
            <v>1.3681132042596771</v>
          </cell>
        </row>
        <row r="13">
          <cell r="G13">
            <v>41.952134974927866</v>
          </cell>
          <cell r="H13">
            <v>46.572365820758591</v>
          </cell>
          <cell r="I13">
            <v>51.99881482550407</v>
          </cell>
          <cell r="J13">
            <v>58.481548175462336</v>
          </cell>
          <cell r="K13">
            <v>66.327308369234387</v>
          </cell>
          <cell r="L13">
            <v>75.974083898539305</v>
          </cell>
          <cell r="M13">
            <v>88.076208352825077</v>
          </cell>
          <cell r="N13">
            <v>103.67611774994239</v>
          </cell>
          <cell r="O13">
            <v>124.60715436719285</v>
          </cell>
          <cell r="P13">
            <v>154.70201471594376</v>
          </cell>
          <cell r="Q13">
            <v>205.86733253631789</v>
          </cell>
        </row>
        <row r="14">
          <cell r="G14">
            <v>133574.22825503966</v>
          </cell>
          <cell r="H14">
            <v>133226.31357547204</v>
          </cell>
          <cell r="I14">
            <v>132771.17449122321</v>
          </cell>
          <cell r="J14">
            <v>132161.66616444036</v>
          </cell>
          <cell r="K14">
            <v>131328.86819216813</v>
          </cell>
          <cell r="L14">
            <v>130163.57592238429</v>
          </cell>
          <cell r="M14">
            <v>128484.85993121493</v>
          </cell>
          <cell r="N14">
            <v>125974.33447040808</v>
          </cell>
          <cell r="O14">
            <v>122019.68731102513</v>
          </cell>
          <cell r="P14">
            <v>115251.05222710465</v>
          </cell>
          <cell r="Q14">
            <v>101325</v>
          </cell>
        </row>
      </sheetData>
      <sheetData sheetId="2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0.45201084371136407</v>
          </cell>
          <cell r="H10">
            <v>0.45201084248514894</v>
          </cell>
          <cell r="I10">
            <v>0.45201077485286445</v>
          </cell>
          <cell r="J10">
            <v>0.45201071834618689</v>
          </cell>
          <cell r="K10">
            <v>0.45201067414804225</v>
          </cell>
          <cell r="L10">
            <v>0.4520106427333081</v>
          </cell>
          <cell r="M10">
            <v>0.45201062359753369</v>
          </cell>
          <cell r="N10">
            <v>0.45201061503429235</v>
          </cell>
          <cell r="O10">
            <v>0.45201061408601589</v>
          </cell>
          <cell r="P10">
            <v>0.45201061686254995</v>
          </cell>
          <cell r="Q10">
            <v>0.4520106194487214</v>
          </cell>
        </row>
        <row r="13">
          <cell r="G13">
            <v>18.971455724631262</v>
          </cell>
          <cell r="H13">
            <v>21.021003515972847</v>
          </cell>
          <cell r="I13">
            <v>23.421546709326705</v>
          </cell>
          <cell r="J13">
            <v>26.258062924428092</v>
          </cell>
          <cell r="K13">
            <v>29.642888449763046</v>
          </cell>
          <cell r="L13">
            <v>33.727017403258657</v>
          </cell>
          <cell r="M13">
            <v>38.717237726899626</v>
          </cell>
          <cell r="N13">
            <v>44.902831069280374</v>
          </cell>
          <cell r="O13">
            <v>52.698461352696171</v>
          </cell>
          <cell r="P13">
            <v>62.715524639686627</v>
          </cell>
          <cell r="Q13">
            <v>75.885785248200023</v>
          </cell>
        </row>
        <row r="14">
          <cell r="G14">
            <v>104786.74969160535</v>
          </cell>
          <cell r="H14">
            <v>104735.69568611095</v>
          </cell>
          <cell r="I14">
            <v>104669.06973389479</v>
          </cell>
          <cell r="J14">
            <v>104580.80925216197</v>
          </cell>
          <cell r="K14">
            <v>104461.91108778602</v>
          </cell>
          <cell r="L14">
            <v>104298.68268580665</v>
          </cell>
          <cell r="M14">
            <v>104069.73174424389</v>
          </cell>
          <cell r="N14">
            <v>103740.59722119931</v>
          </cell>
          <cell r="O14">
            <v>103253.77822192019</v>
          </cell>
          <cell r="P14">
            <v>102509.33114768284</v>
          </cell>
          <cell r="Q14">
            <v>101325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44B59-2522-4946-8AAD-44A6CFE76BA3}">
  <sheetPr codeName="Лист1"/>
  <dimension ref="A1:X56"/>
  <sheetViews>
    <sheetView tabSelected="1" topLeftCell="A11" zoomScale="60" zoomScaleNormal="60" workbookViewId="0">
      <selection activeCell="Z19" sqref="Z19"/>
    </sheetView>
  </sheetViews>
  <sheetFormatPr defaultRowHeight="15" x14ac:dyDescent="0.25"/>
  <sheetData>
    <row r="1" spans="2:24" x14ac:dyDescent="0.25">
      <c r="F1" s="1" t="s">
        <v>0</v>
      </c>
      <c r="G1" s="14">
        <v>1</v>
      </c>
      <c r="H1" s="14">
        <v>2</v>
      </c>
      <c r="I1" s="14">
        <v>3</v>
      </c>
      <c r="J1" s="14">
        <v>4</v>
      </c>
      <c r="K1" s="14">
        <v>5</v>
      </c>
      <c r="L1" s="14">
        <v>6</v>
      </c>
      <c r="M1" s="14">
        <v>7</v>
      </c>
      <c r="N1" s="14">
        <v>8</v>
      </c>
      <c r="O1" s="14">
        <v>9</v>
      </c>
      <c r="P1" s="14">
        <v>10</v>
      </c>
      <c r="Q1" s="14">
        <v>11</v>
      </c>
      <c r="T1" s="2"/>
      <c r="U1" s="2"/>
      <c r="V1" s="2"/>
      <c r="W1" s="2"/>
      <c r="X1" s="2"/>
    </row>
    <row r="2" spans="2:24" x14ac:dyDescent="0.25">
      <c r="F2" s="1" t="s">
        <v>1</v>
      </c>
      <c r="G2" s="14">
        <v>0</v>
      </c>
      <c r="H2" s="14">
        <f>G2+$C$4</f>
        <v>0.01</v>
      </c>
      <c r="I2" s="14">
        <f t="shared" ref="I2:Q2" si="0">H2+$C$4</f>
        <v>0.02</v>
      </c>
      <c r="J2" s="14">
        <f t="shared" si="0"/>
        <v>0.03</v>
      </c>
      <c r="K2" s="14">
        <f t="shared" si="0"/>
        <v>0.04</v>
      </c>
      <c r="L2" s="14">
        <f t="shared" si="0"/>
        <v>0.05</v>
      </c>
      <c r="M2" s="14">
        <f t="shared" si="0"/>
        <v>6.0000000000000005E-2</v>
      </c>
      <c r="N2" s="14">
        <f t="shared" si="0"/>
        <v>7.0000000000000007E-2</v>
      </c>
      <c r="O2" s="14">
        <f t="shared" si="0"/>
        <v>0.08</v>
      </c>
      <c r="P2" s="14">
        <f t="shared" si="0"/>
        <v>0.09</v>
      </c>
      <c r="Q2" s="14">
        <f t="shared" si="0"/>
        <v>9.9999999999999992E-2</v>
      </c>
      <c r="T2" s="2"/>
      <c r="U2" s="2"/>
      <c r="V2" s="2"/>
      <c r="W2" s="2"/>
      <c r="X2" s="2"/>
    </row>
    <row r="3" spans="2:24" x14ac:dyDescent="0.25">
      <c r="B3" s="1" t="s">
        <v>2</v>
      </c>
      <c r="C3" s="1">
        <v>0.1</v>
      </c>
      <c r="F3" s="1" t="s">
        <v>3</v>
      </c>
      <c r="G3" s="16">
        <v>0.08</v>
      </c>
      <c r="H3" s="14">
        <f>G3+($Q$3-$G$3)/10</f>
        <v>7.5999999999999998E-2</v>
      </c>
      <c r="I3" s="14">
        <f t="shared" ref="I3:P3" si="1">H3+($Q$3-$G$3)/10</f>
        <v>7.1999999999999995E-2</v>
      </c>
      <c r="J3" s="14">
        <f t="shared" si="1"/>
        <v>6.7999999999999991E-2</v>
      </c>
      <c r="K3" s="14">
        <f t="shared" si="1"/>
        <v>6.3999999999999987E-2</v>
      </c>
      <c r="L3" s="14">
        <f t="shared" si="1"/>
        <v>5.9999999999999984E-2</v>
      </c>
      <c r="M3" s="14">
        <f t="shared" si="1"/>
        <v>5.599999999999998E-2</v>
      </c>
      <c r="N3" s="14">
        <f t="shared" si="1"/>
        <v>5.1999999999999977E-2</v>
      </c>
      <c r="O3" s="14">
        <f t="shared" si="1"/>
        <v>4.7999999999999973E-2</v>
      </c>
      <c r="P3" s="14">
        <f t="shared" si="1"/>
        <v>4.399999999999997E-2</v>
      </c>
      <c r="Q3" s="16">
        <v>0.04</v>
      </c>
      <c r="T3" s="2"/>
      <c r="U3" s="2"/>
      <c r="V3" s="2"/>
      <c r="W3" s="2"/>
      <c r="X3" s="2"/>
    </row>
    <row r="4" spans="2:24" x14ac:dyDescent="0.25">
      <c r="B4" s="1" t="s">
        <v>4</v>
      </c>
      <c r="C4" s="1">
        <f>C3/10</f>
        <v>0.01</v>
      </c>
      <c r="F4" s="1" t="s">
        <v>5</v>
      </c>
      <c r="G4" s="15">
        <f>(PI()*(2*G3)^2)/4</f>
        <v>2.0106192982974676E-2</v>
      </c>
      <c r="H4" s="15">
        <f t="shared" ref="H4:Q4" si="2">(PI()*(2*H3)^2)/4</f>
        <v>1.8145839167134643E-2</v>
      </c>
      <c r="I4" s="15">
        <f t="shared" si="2"/>
        <v>1.6286016316209486E-2</v>
      </c>
      <c r="J4" s="15">
        <f t="shared" si="2"/>
        <v>1.4526724430199199E-2</v>
      </c>
      <c r="K4" s="15">
        <f t="shared" si="2"/>
        <v>1.2867963509103787E-2</v>
      </c>
      <c r="L4" s="15">
        <f t="shared" si="2"/>
        <v>1.1309733552923249E-2</v>
      </c>
      <c r="M4" s="15">
        <f t="shared" si="2"/>
        <v>9.8520345616575841E-3</v>
      </c>
      <c r="N4" s="15">
        <f t="shared" si="2"/>
        <v>8.4948665353067939E-3</v>
      </c>
      <c r="O4" s="15">
        <f t="shared" si="2"/>
        <v>7.2382294738708754E-3</v>
      </c>
      <c r="P4" s="15">
        <f t="shared" si="2"/>
        <v>6.0821233773498311E-3</v>
      </c>
      <c r="Q4" s="10">
        <f t="shared" si="2"/>
        <v>5.0265482457436689E-3</v>
      </c>
      <c r="T4" s="2"/>
      <c r="U4" s="2"/>
      <c r="V4" s="2"/>
      <c r="W4" s="2"/>
      <c r="X4" s="2"/>
    </row>
    <row r="5" spans="2:24" x14ac:dyDescent="0.25">
      <c r="F5" s="1" t="s">
        <v>6</v>
      </c>
      <c r="G5" s="14">
        <v>57.345863662693617</v>
      </c>
      <c r="H5" s="14">
        <v>63.541273244471491</v>
      </c>
      <c r="I5" s="14">
        <v>70.806929022965377</v>
      </c>
      <c r="J5" s="14">
        <v>79.397519650294129</v>
      </c>
      <c r="K5" s="14">
        <v>89.652956402094503</v>
      </c>
      <c r="L5" s="14">
        <v>102.02955520689169</v>
      </c>
      <c r="M5" s="14">
        <v>117.15172537059544</v>
      </c>
      <c r="N5" s="14">
        <v>135.8927282316663</v>
      </c>
      <c r="O5" s="14">
        <v>159.50475198776715</v>
      </c>
      <c r="P5" s="14">
        <v>189.83572747710332</v>
      </c>
      <c r="Q5" s="14">
        <v>229.70519916278516</v>
      </c>
      <c r="T5" s="2"/>
      <c r="U5" s="2"/>
      <c r="V5" s="2"/>
      <c r="W5" s="2"/>
      <c r="X5" s="2"/>
    </row>
    <row r="6" spans="2:24" x14ac:dyDescent="0.25">
      <c r="B6" s="9" t="s">
        <v>7</v>
      </c>
      <c r="C6" s="9">
        <v>1.4</v>
      </c>
      <c r="F6" s="1" t="s">
        <v>8</v>
      </c>
      <c r="G6" s="14">
        <v>133051.53526306202</v>
      </c>
      <c r="H6" s="14">
        <v>132585.0204570019</v>
      </c>
      <c r="I6" s="14">
        <v>131975.35096062184</v>
      </c>
      <c r="J6" s="14">
        <v>131167.04864642158</v>
      </c>
      <c r="K6" s="14">
        <v>130077.46773118924</v>
      </c>
      <c r="L6" s="14">
        <v>128581.01478432902</v>
      </c>
      <c r="M6" s="14">
        <v>126481.62501993927</v>
      </c>
      <c r="N6" s="14">
        <v>123463.65894101333</v>
      </c>
      <c r="O6" s="14">
        <v>119000.64254371547</v>
      </c>
      <c r="P6" s="14">
        <v>112177.50864414575</v>
      </c>
      <c r="Q6" s="14">
        <v>101325</v>
      </c>
      <c r="T6" s="2"/>
      <c r="U6" s="2"/>
      <c r="V6" s="2"/>
      <c r="W6" s="2"/>
      <c r="X6" s="2"/>
    </row>
    <row r="7" spans="2:24" x14ac:dyDescent="0.25">
      <c r="B7" s="9" t="s">
        <v>3</v>
      </c>
      <c r="C7" s="9">
        <v>286.97199999999998</v>
      </c>
      <c r="F7" s="1" t="s">
        <v>9</v>
      </c>
      <c r="G7" s="14">
        <v>1.1850000000000001</v>
      </c>
      <c r="H7" s="14">
        <v>1.1850000000000001</v>
      </c>
      <c r="I7" s="14">
        <v>1.1850000000000001</v>
      </c>
      <c r="J7" s="14">
        <v>1.1850000000000001</v>
      </c>
      <c r="K7" s="14">
        <v>1.1850000000000001</v>
      </c>
      <c r="L7" s="14">
        <v>1.1850000000000001</v>
      </c>
      <c r="M7" s="14">
        <v>1.1850000000000001</v>
      </c>
      <c r="N7" s="14">
        <v>1.1850000000000001</v>
      </c>
      <c r="O7" s="14">
        <v>1.1850000000000001</v>
      </c>
      <c r="P7" s="14">
        <v>1.1850000000000001</v>
      </c>
      <c r="Q7" s="14">
        <v>1.1850000000000001</v>
      </c>
      <c r="T7" s="2"/>
      <c r="U7" s="2"/>
      <c r="V7" s="2"/>
      <c r="W7" s="2"/>
      <c r="X7" s="2"/>
    </row>
    <row r="8" spans="2:24" x14ac:dyDescent="0.25">
      <c r="B8" s="9" t="s">
        <v>10</v>
      </c>
      <c r="C8" s="9">
        <v>1004.4</v>
      </c>
      <c r="T8" s="2"/>
      <c r="U8" s="2"/>
      <c r="V8" s="2"/>
      <c r="W8" s="2"/>
      <c r="X8" s="2"/>
    </row>
    <row r="9" spans="2:24" x14ac:dyDescent="0.25">
      <c r="T9" s="2"/>
      <c r="U9" s="2"/>
      <c r="V9" s="2"/>
      <c r="W9" s="2"/>
      <c r="X9" s="2"/>
    </row>
    <row r="10" spans="2:24" x14ac:dyDescent="0.25">
      <c r="B10" s="6" t="s">
        <v>11</v>
      </c>
      <c r="C10" s="6">
        <v>135000</v>
      </c>
      <c r="F10" s="1" t="s">
        <v>12</v>
      </c>
      <c r="G10" s="15">
        <f>G4*G7*G13</f>
        <v>1.3663165238514254</v>
      </c>
      <c r="H10" s="15">
        <f t="shared" ref="H10:Q10" si="3">H4*H7*H13</f>
        <v>1.3663197670643263</v>
      </c>
      <c r="I10" s="15">
        <f t="shared" si="3"/>
        <v>1.3665020425140293</v>
      </c>
      <c r="J10" s="15">
        <f t="shared" si="3"/>
        <v>1.3667666214711018</v>
      </c>
      <c r="K10" s="15">
        <f t="shared" si="3"/>
        <v>1.3670804272061059</v>
      </c>
      <c r="L10" s="15">
        <f t="shared" si="3"/>
        <v>1.3674069190133782</v>
      </c>
      <c r="M10" s="15">
        <f t="shared" si="3"/>
        <v>1.3677090959522973</v>
      </c>
      <c r="N10" s="10">
        <f t="shared" si="3"/>
        <v>1.3679543599839599</v>
      </c>
      <c r="O10" s="15">
        <f t="shared" si="3"/>
        <v>1.3681211846855306</v>
      </c>
      <c r="P10" s="15">
        <f t="shared" si="3"/>
        <v>1.3682064201253556</v>
      </c>
      <c r="Q10" s="15">
        <f t="shared" si="3"/>
        <v>1.3682298874393872</v>
      </c>
      <c r="T10" s="2"/>
      <c r="U10" s="2"/>
      <c r="V10" s="2"/>
      <c r="W10" s="2"/>
      <c r="X10" s="2"/>
    </row>
    <row r="11" spans="2:24" x14ac:dyDescent="0.25">
      <c r="B11" s="6" t="s">
        <v>13</v>
      </c>
      <c r="C11" s="6">
        <v>288.16000000000003</v>
      </c>
      <c r="F11" s="1" t="s">
        <v>14</v>
      </c>
      <c r="G11" s="14">
        <v>0</v>
      </c>
      <c r="H11" s="14">
        <f>H13*(H10-I10)</f>
        <v>-1.1582041647454057E-2</v>
      </c>
      <c r="I11" s="14">
        <f t="shared" ref="I11:P11" si="4">I13*(I10-J10)</f>
        <v>-1.8734079957256542E-2</v>
      </c>
      <c r="J11" s="14">
        <f t="shared" si="4"/>
        <v>-2.491547619513871E-2</v>
      </c>
      <c r="K11" s="14">
        <f t="shared" si="4"/>
        <v>-2.927104196555097E-2</v>
      </c>
      <c r="L11" s="14">
        <f t="shared" si="4"/>
        <v>-3.0831053631231058E-2</v>
      </c>
      <c r="M11" s="14">
        <f t="shared" si="4"/>
        <v>-2.8733155360282273E-2</v>
      </c>
      <c r="N11" s="14">
        <f t="shared" si="4"/>
        <v>-2.2670288881888406E-2</v>
      </c>
      <c r="O11" s="14">
        <f t="shared" si="4"/>
        <v>-1.3595465323413746E-2</v>
      </c>
      <c r="P11" s="14">
        <f t="shared" si="4"/>
        <v>-4.4549356265903622E-3</v>
      </c>
      <c r="Q11" s="13">
        <v>0</v>
      </c>
      <c r="T11" s="2"/>
      <c r="U11" s="2"/>
      <c r="V11" s="2"/>
      <c r="W11" s="2"/>
      <c r="X11" s="2"/>
    </row>
    <row r="12" spans="2:24" x14ac:dyDescent="0.25">
      <c r="B12" s="6" t="s">
        <v>8</v>
      </c>
      <c r="C12" s="6">
        <v>101325</v>
      </c>
      <c r="T12" s="2"/>
      <c r="U12" s="2"/>
      <c r="V12" s="2"/>
      <c r="W12" s="2"/>
      <c r="X12" s="2"/>
    </row>
    <row r="13" spans="2:24" x14ac:dyDescent="0.25">
      <c r="F13" s="1" t="s">
        <v>6</v>
      </c>
      <c r="G13" s="13">
        <f>(H4*H5*H7)/(G4*G7)</f>
        <v>57.345999103135519</v>
      </c>
      <c r="H13" s="14">
        <f>((G6-H6)/H7+G5*H5)^0.5</f>
        <v>63.541424071804343</v>
      </c>
      <c r="I13" s="14">
        <f t="shared" ref="I13:Q13" si="5">((H6-I6)/I7+H5*I5)^0.5</f>
        <v>70.80714265616993</v>
      </c>
      <c r="J13" s="14">
        <f t="shared" si="5"/>
        <v>79.397771984047765</v>
      </c>
      <c r="K13" s="14">
        <f t="shared" si="5"/>
        <v>89.653220428711691</v>
      </c>
      <c r="L13" s="14">
        <f t="shared" si="5"/>
        <v>102.02980327193542</v>
      </c>
      <c r="M13" s="14">
        <f t="shared" si="5"/>
        <v>117.15193281912278</v>
      </c>
      <c r="N13" s="14">
        <f t="shared" si="5"/>
        <v>135.89287838336543</v>
      </c>
      <c r="O13" s="14">
        <f t="shared" si="5"/>
        <v>159.50484154612215</v>
      </c>
      <c r="P13" s="14">
        <f t="shared" si="5"/>
        <v>189.83576989662194</v>
      </c>
      <c r="Q13" s="14">
        <f t="shared" si="5"/>
        <v>229.70522138401481</v>
      </c>
      <c r="T13" s="2"/>
      <c r="U13" s="2"/>
      <c r="V13" s="2"/>
      <c r="W13" s="2"/>
      <c r="X13" s="2"/>
    </row>
    <row r="14" spans="2:24" x14ac:dyDescent="0.25">
      <c r="B14" s="17" t="s">
        <v>15</v>
      </c>
      <c r="C14" s="17">
        <v>2000</v>
      </c>
      <c r="D14">
        <v>2000</v>
      </c>
      <c r="F14" s="1" t="s">
        <v>8</v>
      </c>
      <c r="G14" s="13">
        <f>C10-(G7*G13^2)/2</f>
        <v>133051.52605921644</v>
      </c>
      <c r="H14" s="14">
        <f>H6+H11</f>
        <v>132585.00887496024</v>
      </c>
      <c r="I14" s="14">
        <f t="shared" ref="I14:Q14" si="6">I6+I11</f>
        <v>131975.33222654188</v>
      </c>
      <c r="J14" s="14">
        <f t="shared" si="6"/>
        <v>131167.0237309454</v>
      </c>
      <c r="K14" s="14">
        <f t="shared" si="6"/>
        <v>130077.43846014728</v>
      </c>
      <c r="L14" s="14">
        <f t="shared" si="6"/>
        <v>128580.98395327538</v>
      </c>
      <c r="M14" s="14">
        <f t="shared" si="6"/>
        <v>126481.59628678391</v>
      </c>
      <c r="N14" s="14">
        <f t="shared" si="6"/>
        <v>123463.63627072446</v>
      </c>
      <c r="O14" s="14">
        <f t="shared" si="6"/>
        <v>119000.62894825015</v>
      </c>
      <c r="P14" s="14">
        <f t="shared" si="6"/>
        <v>112177.50418921013</v>
      </c>
      <c r="Q14" s="13">
        <f t="shared" si="6"/>
        <v>101325</v>
      </c>
      <c r="T14" s="2"/>
      <c r="U14" s="2"/>
      <c r="V14" s="2"/>
      <c r="W14" s="2"/>
      <c r="X14" s="2"/>
    </row>
    <row r="15" spans="2:24" x14ac:dyDescent="0.25">
      <c r="F15" s="1" t="s">
        <v>9</v>
      </c>
      <c r="G15" s="14">
        <f>1.185</f>
        <v>1.1850000000000001</v>
      </c>
      <c r="H15" s="14">
        <f t="shared" ref="H15:Q15" si="7">1.185</f>
        <v>1.1850000000000001</v>
      </c>
      <c r="I15" s="14">
        <f t="shared" si="7"/>
        <v>1.1850000000000001</v>
      </c>
      <c r="J15" s="14">
        <f t="shared" si="7"/>
        <v>1.1850000000000001</v>
      </c>
      <c r="K15" s="14">
        <f t="shared" si="7"/>
        <v>1.1850000000000001</v>
      </c>
      <c r="L15" s="14">
        <f t="shared" si="7"/>
        <v>1.1850000000000001</v>
      </c>
      <c r="M15" s="14">
        <f t="shared" si="7"/>
        <v>1.1850000000000001</v>
      </c>
      <c r="N15" s="14">
        <f t="shared" si="7"/>
        <v>1.1850000000000001</v>
      </c>
      <c r="O15" s="14">
        <f t="shared" si="7"/>
        <v>1.1850000000000001</v>
      </c>
      <c r="P15" s="14">
        <f t="shared" si="7"/>
        <v>1.1850000000000001</v>
      </c>
      <c r="Q15" s="14">
        <f t="shared" si="7"/>
        <v>1.1850000000000001</v>
      </c>
      <c r="T15" s="2"/>
      <c r="U15" s="2"/>
      <c r="V15" s="2" t="s">
        <v>16</v>
      </c>
      <c r="W15" s="2"/>
      <c r="X15" s="2"/>
    </row>
    <row r="16" spans="2:24" x14ac:dyDescent="0.25">
      <c r="T16" s="2"/>
      <c r="U16" s="2"/>
      <c r="V16" s="2"/>
      <c r="W16" s="2"/>
      <c r="X16" s="2"/>
    </row>
    <row r="17" spans="1:24" x14ac:dyDescent="0.25">
      <c r="F17" s="1" t="s">
        <v>17</v>
      </c>
      <c r="G17" s="10">
        <f>$C$11-(G13^2)/(2*$C$8)</f>
        <v>286.52292133953767</v>
      </c>
      <c r="H17" s="10">
        <f t="shared" ref="H17:Q17" si="8">$C$11-(H13^2)/(2*$C$8)</f>
        <v>286.15008732921507</v>
      </c>
      <c r="I17" s="10">
        <f t="shared" si="8"/>
        <v>285.66415598808686</v>
      </c>
      <c r="J17" s="10">
        <f t="shared" si="8"/>
        <v>285.0218049601599</v>
      </c>
      <c r="K17" s="10">
        <f t="shared" si="8"/>
        <v>284.15875550914024</v>
      </c>
      <c r="L17" s="10">
        <f t="shared" si="8"/>
        <v>282.97776147166974</v>
      </c>
      <c r="M17" s="10">
        <f t="shared" si="8"/>
        <v>281.32777411227789</v>
      </c>
      <c r="N17" s="10">
        <f t="shared" si="8"/>
        <v>278.96701194976299</v>
      </c>
      <c r="O17" s="10">
        <f t="shared" si="8"/>
        <v>275.49482951182125</v>
      </c>
      <c r="P17" s="10">
        <f t="shared" si="8"/>
        <v>270.22012568088252</v>
      </c>
      <c r="Q17" s="10">
        <f t="shared" si="8"/>
        <v>261.89332898691794</v>
      </c>
      <c r="T17" s="2"/>
      <c r="U17" s="2"/>
      <c r="V17" s="2"/>
      <c r="W17" s="2"/>
      <c r="X17" s="2"/>
    </row>
    <row r="18" spans="1:24" x14ac:dyDescent="0.25">
      <c r="F18" s="1" t="s">
        <v>18</v>
      </c>
      <c r="G18" s="11">
        <f>SQRT($C$7*$C$6*G17)</f>
        <v>339.28406696411446</v>
      </c>
      <c r="H18" s="11">
        <f t="shared" ref="H18:Q18" si="9">SQRT($C$7*$C$6*H17)</f>
        <v>339.06325074454071</v>
      </c>
      <c r="I18" s="11">
        <f t="shared" si="9"/>
        <v>338.77523498788776</v>
      </c>
      <c r="J18" s="11">
        <f t="shared" si="9"/>
        <v>338.39413171365396</v>
      </c>
      <c r="K18" s="11">
        <f t="shared" si="9"/>
        <v>337.88141254048969</v>
      </c>
      <c r="L18" s="11">
        <f t="shared" si="9"/>
        <v>337.17854592347243</v>
      </c>
      <c r="M18" s="11">
        <f t="shared" si="9"/>
        <v>336.19409808854175</v>
      </c>
      <c r="N18" s="11">
        <f t="shared" si="9"/>
        <v>334.78053989822394</v>
      </c>
      <c r="O18" s="11">
        <f t="shared" si="9"/>
        <v>332.69058162282397</v>
      </c>
      <c r="P18" s="11">
        <f t="shared" si="9"/>
        <v>329.49029404468337</v>
      </c>
      <c r="Q18" s="11">
        <f t="shared" si="9"/>
        <v>324.37397147189125</v>
      </c>
      <c r="T18" s="2"/>
      <c r="U18" s="2"/>
      <c r="V18" s="2"/>
      <c r="W18" s="2"/>
      <c r="X18" s="2"/>
    </row>
    <row r="19" spans="1:24" x14ac:dyDescent="0.25">
      <c r="F19" s="1" t="s">
        <v>19</v>
      </c>
      <c r="G19" s="12">
        <f>G13/G18</f>
        <v>0.16902060746990785</v>
      </c>
      <c r="H19" s="12">
        <f t="shared" ref="H19:Q19" si="10">H13/H18</f>
        <v>0.18740286342526147</v>
      </c>
      <c r="I19" s="12">
        <f t="shared" si="10"/>
        <v>0.20900920534731973</v>
      </c>
      <c r="J19" s="12">
        <f t="shared" si="10"/>
        <v>0.23463105456933112</v>
      </c>
      <c r="K19" s="12">
        <f t="shared" si="10"/>
        <v>0.26533930870780936</v>
      </c>
      <c r="L19" s="12">
        <f t="shared" si="10"/>
        <v>0.30259874035726037</v>
      </c>
      <c r="M19" s="12">
        <f t="shared" si="10"/>
        <v>0.34846516784559695</v>
      </c>
      <c r="N19" s="12">
        <f t="shared" si="10"/>
        <v>0.40591630094353154</v>
      </c>
      <c r="O19" s="12">
        <f t="shared" si="10"/>
        <v>0.47943900536070794</v>
      </c>
      <c r="P19" s="12">
        <f t="shared" si="10"/>
        <v>0.57614980874331201</v>
      </c>
      <c r="Q19" s="12">
        <f t="shared" si="10"/>
        <v>0.70814936334655942</v>
      </c>
      <c r="T19" s="2"/>
      <c r="U19" s="2"/>
      <c r="V19" s="2"/>
      <c r="W19" s="2"/>
      <c r="X19" s="2"/>
    </row>
    <row r="20" spans="1:24" x14ac:dyDescent="0.25">
      <c r="T20" s="2"/>
      <c r="U20" s="2"/>
      <c r="V20" s="2"/>
      <c r="W20" s="2"/>
      <c r="X20" s="2"/>
    </row>
    <row r="21" spans="1:2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5"/>
      <c r="S23" s="5">
        <v>0</v>
      </c>
      <c r="T23" s="4">
        <v>2.5000000000000001E-2</v>
      </c>
      <c r="U23" s="5">
        <v>0.05</v>
      </c>
      <c r="V23" s="4">
        <v>7.4999999999999997E-2</v>
      </c>
      <c r="W23" s="5">
        <v>0.1</v>
      </c>
      <c r="X23" s="2"/>
    </row>
    <row r="24" spans="1:2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5" t="s">
        <v>20</v>
      </c>
      <c r="S24" s="7">
        <v>62.6</v>
      </c>
      <c r="T24" s="5">
        <v>78.260000000000005</v>
      </c>
      <c r="U24" s="5">
        <v>106.77</v>
      </c>
      <c r="V24" s="5">
        <v>153.75</v>
      </c>
      <c r="W24" s="5">
        <v>238.13</v>
      </c>
      <c r="X24" s="2"/>
    </row>
    <row r="25" spans="1:2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5" t="s">
        <v>21</v>
      </c>
      <c r="S25" s="8">
        <v>132552</v>
      </c>
      <c r="T25" s="8">
        <v>131334</v>
      </c>
      <c r="U25" s="8">
        <v>128213</v>
      </c>
      <c r="V25" s="8">
        <v>120941</v>
      </c>
      <c r="W25" s="8">
        <v>101336</v>
      </c>
      <c r="X25" s="2"/>
    </row>
    <row r="26" spans="1:2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5" t="s">
        <v>22</v>
      </c>
      <c r="S26" s="4">
        <v>1.375</v>
      </c>
      <c r="T26" s="5"/>
      <c r="U26" s="5"/>
      <c r="V26" s="5"/>
      <c r="W26" s="5"/>
    </row>
    <row r="27" spans="1:2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6"/>
      <c r="S28" s="27"/>
      <c r="T28" s="27"/>
      <c r="U28" s="27"/>
      <c r="V28" s="27"/>
      <c r="W28" s="27"/>
    </row>
    <row r="29" spans="1:2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6"/>
      <c r="S29" s="27"/>
      <c r="T29" s="27"/>
      <c r="U29" s="27"/>
      <c r="V29" s="27"/>
      <c r="W29" s="27"/>
    </row>
    <row r="30" spans="1:2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6"/>
      <c r="S30" s="26"/>
      <c r="T30" s="26"/>
      <c r="U30" s="26"/>
      <c r="V30" s="26"/>
      <c r="W30" s="26"/>
      <c r="X30" s="2"/>
    </row>
    <row r="31" spans="1:2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6"/>
      <c r="S31" s="26"/>
      <c r="T31" s="26"/>
      <c r="U31" s="26"/>
      <c r="V31" s="26"/>
      <c r="W31" s="26"/>
      <c r="X31" s="2"/>
    </row>
    <row r="32" spans="1:2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</row>
    <row r="48" spans="1:24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</row>
    <row r="50" spans="1:24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</row>
    <row r="51" spans="1:24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</row>
    <row r="52" spans="1:24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B95DB-7423-4814-8E35-A1D7B7E4EDCA}">
  <sheetPr codeName="Лист2"/>
  <dimension ref="B1:Y30"/>
  <sheetViews>
    <sheetView topLeftCell="A2" zoomScale="70" zoomScaleNormal="70" workbookViewId="0">
      <selection activeCell="Z19" sqref="Z19"/>
    </sheetView>
  </sheetViews>
  <sheetFormatPr defaultRowHeight="15" x14ac:dyDescent="0.25"/>
  <sheetData>
    <row r="1" spans="2:17" x14ac:dyDescent="0.25">
      <c r="F1" s="18" t="s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</row>
    <row r="2" spans="2:17" x14ac:dyDescent="0.25">
      <c r="F2" s="18" t="s">
        <v>1</v>
      </c>
      <c r="G2" s="19">
        <v>0</v>
      </c>
      <c r="H2" s="19">
        <f>G2+$C$4</f>
        <v>0.01</v>
      </c>
      <c r="I2" s="19">
        <f t="shared" ref="I2:Q2" si="0">H2+$C$4</f>
        <v>0.02</v>
      </c>
      <c r="J2" s="19">
        <f t="shared" si="0"/>
        <v>0.03</v>
      </c>
      <c r="K2" s="19">
        <f t="shared" si="0"/>
        <v>0.04</v>
      </c>
      <c r="L2" s="19">
        <f t="shared" si="0"/>
        <v>0.05</v>
      </c>
      <c r="M2" s="19">
        <f t="shared" si="0"/>
        <v>6.0000000000000005E-2</v>
      </c>
      <c r="N2" s="19">
        <f t="shared" si="0"/>
        <v>7.0000000000000007E-2</v>
      </c>
      <c r="O2" s="19">
        <f t="shared" si="0"/>
        <v>0.08</v>
      </c>
      <c r="P2" s="19">
        <f t="shared" si="0"/>
        <v>0.09</v>
      </c>
      <c r="Q2" s="19">
        <f t="shared" si="0"/>
        <v>9.9999999999999992E-2</v>
      </c>
    </row>
    <row r="3" spans="2:17" x14ac:dyDescent="0.25">
      <c r="B3" s="18" t="s">
        <v>2</v>
      </c>
      <c r="C3" s="18">
        <v>0.1</v>
      </c>
      <c r="F3" s="18" t="s">
        <v>3</v>
      </c>
      <c r="G3" s="3">
        <v>0.08</v>
      </c>
      <c r="H3" s="18">
        <f>G3+($Q$3-$G$3)/10</f>
        <v>7.5999999999999998E-2</v>
      </c>
      <c r="I3" s="18">
        <f t="shared" ref="I3:P3" si="1">H3+($Q$3-$G$3)/10</f>
        <v>7.1999999999999995E-2</v>
      </c>
      <c r="J3" s="18">
        <f t="shared" si="1"/>
        <v>6.7999999999999991E-2</v>
      </c>
      <c r="K3" s="18">
        <f t="shared" si="1"/>
        <v>6.3999999999999987E-2</v>
      </c>
      <c r="L3" s="18">
        <f t="shared" si="1"/>
        <v>5.9999999999999984E-2</v>
      </c>
      <c r="M3" s="18">
        <f t="shared" si="1"/>
        <v>5.599999999999998E-2</v>
      </c>
      <c r="N3" s="18">
        <f t="shared" si="1"/>
        <v>5.1999999999999977E-2</v>
      </c>
      <c r="O3" s="18">
        <f t="shared" si="1"/>
        <v>4.7999999999999973E-2</v>
      </c>
      <c r="P3" s="18">
        <f t="shared" si="1"/>
        <v>4.399999999999997E-2</v>
      </c>
      <c r="Q3" s="3">
        <v>0.04</v>
      </c>
    </row>
    <row r="4" spans="2:17" x14ac:dyDescent="0.25">
      <c r="B4" s="18" t="s">
        <v>4</v>
      </c>
      <c r="C4" s="18">
        <f>C3/10</f>
        <v>0.01</v>
      </c>
      <c r="F4" s="18" t="s">
        <v>5</v>
      </c>
      <c r="G4" s="19">
        <f>(PI()*(2*G3)^2)/4</f>
        <v>2.0106192982974676E-2</v>
      </c>
      <c r="H4" s="19">
        <f t="shared" ref="H4:Q4" si="2">(PI()*(2*H3)^2)/4</f>
        <v>1.8145839167134643E-2</v>
      </c>
      <c r="I4" s="19">
        <f t="shared" si="2"/>
        <v>1.6286016316209486E-2</v>
      </c>
      <c r="J4" s="19">
        <f t="shared" si="2"/>
        <v>1.4526724430199199E-2</v>
      </c>
      <c r="K4" s="19">
        <f t="shared" si="2"/>
        <v>1.2867963509103787E-2</v>
      </c>
      <c r="L4" s="19">
        <f t="shared" si="2"/>
        <v>1.1309733552923249E-2</v>
      </c>
      <c r="M4" s="19">
        <f t="shared" si="2"/>
        <v>9.8520345616575841E-3</v>
      </c>
      <c r="N4" s="19">
        <f t="shared" si="2"/>
        <v>8.4948665353067939E-3</v>
      </c>
      <c r="O4" s="19">
        <f t="shared" si="2"/>
        <v>7.2382294738708754E-3</v>
      </c>
      <c r="P4" s="19">
        <f t="shared" si="2"/>
        <v>6.0821233773498311E-3</v>
      </c>
      <c r="Q4" s="19">
        <f t="shared" si="2"/>
        <v>5.0265482457436689E-3</v>
      </c>
    </row>
    <row r="5" spans="2:17" x14ac:dyDescent="0.25">
      <c r="F5" s="18" t="s">
        <v>6</v>
      </c>
      <c r="G5" s="18">
        <v>42.000606916985511</v>
      </c>
      <c r="H5" s="18">
        <v>46.62676795861816</v>
      </c>
      <c r="I5" s="18">
        <v>52.082072609831968</v>
      </c>
      <c r="J5" s="18">
        <v>58.586971228959953</v>
      </c>
      <c r="K5" s="18">
        <v>66.446396467112677</v>
      </c>
      <c r="L5" s="18">
        <v>76.096694897447961</v>
      </c>
      <c r="M5" s="18">
        <v>88.191120663248697</v>
      </c>
      <c r="N5" s="18">
        <v>103.77219864246038</v>
      </c>
      <c r="O5" s="18">
        <v>124.67536987878309</v>
      </c>
      <c r="P5" s="18">
        <v>154.73849551196687</v>
      </c>
      <c r="Q5" s="18">
        <v>205.87821316675689</v>
      </c>
    </row>
    <row r="6" spans="2:17" x14ac:dyDescent="0.25">
      <c r="B6" s="28" t="s">
        <v>7</v>
      </c>
      <c r="C6" s="28">
        <v>1.4</v>
      </c>
      <c r="F6" s="18" t="s">
        <v>8</v>
      </c>
      <c r="G6" s="18">
        <v>133570.95640972746</v>
      </c>
      <c r="H6" s="18">
        <v>133222.14282611106</v>
      </c>
      <c r="I6" s="18">
        <v>132763.83876621781</v>
      </c>
      <c r="J6" s="18">
        <v>132151.17494012538</v>
      </c>
      <c r="K6" s="18">
        <v>131315.51380502104</v>
      </c>
      <c r="L6" s="18">
        <v>130148.06608159791</v>
      </c>
      <c r="M6" s="18">
        <v>128468.45688034406</v>
      </c>
      <c r="N6" s="18">
        <v>125958.94226069338</v>
      </c>
      <c r="O6" s="18">
        <v>122007.746711367</v>
      </c>
      <c r="P6" s="18">
        <v>115244.93115771694</v>
      </c>
      <c r="Q6" s="18">
        <v>101325</v>
      </c>
    </row>
    <row r="7" spans="2:17" x14ac:dyDescent="0.25">
      <c r="B7" s="28" t="s">
        <v>3</v>
      </c>
      <c r="C7" s="28">
        <v>286.97199999999998</v>
      </c>
      <c r="F7" s="18" t="s">
        <v>9</v>
      </c>
      <c r="G7" s="18">
        <v>1.6201840031483812</v>
      </c>
      <c r="H7" s="18">
        <v>1.6171018742807706</v>
      </c>
      <c r="I7" s="18">
        <v>1.6130450117582009</v>
      </c>
      <c r="J7" s="18">
        <v>1.6076100191287941</v>
      </c>
      <c r="K7" s="18">
        <v>1.6001769917129893</v>
      </c>
      <c r="L7" s="18">
        <v>1.589757685214616</v>
      </c>
      <c r="M7" s="18">
        <v>1.5747011723525126</v>
      </c>
      <c r="N7" s="18">
        <v>1.5520697088970101</v>
      </c>
      <c r="O7" s="18">
        <v>1.516127365286652</v>
      </c>
      <c r="P7" s="18">
        <v>1.4537677933931714</v>
      </c>
      <c r="Q7" s="18">
        <v>1.3221123794410505</v>
      </c>
    </row>
    <row r="8" spans="2:17" x14ac:dyDescent="0.25">
      <c r="B8" s="28" t="s">
        <v>10</v>
      </c>
      <c r="C8" s="28">
        <v>1004.4</v>
      </c>
    </row>
    <row r="10" spans="2:17" x14ac:dyDescent="0.25">
      <c r="B10" s="28" t="s">
        <v>11</v>
      </c>
      <c r="C10" s="28">
        <v>135000</v>
      </c>
      <c r="F10" s="18" t="s">
        <v>12</v>
      </c>
      <c r="G10" s="19">
        <f t="shared" ref="G10:Q10" si="3">G4*G7*G13</f>
        <v>1.3682005167431885</v>
      </c>
      <c r="H10" s="19">
        <f t="shared" si="3"/>
        <v>1.3682005088069324</v>
      </c>
      <c r="I10" s="19">
        <f t="shared" si="3"/>
        <v>1.3682000694267309</v>
      </c>
      <c r="J10" s="19">
        <f t="shared" si="3"/>
        <v>1.368199560807196</v>
      </c>
      <c r="K10" s="19">
        <f t="shared" si="3"/>
        <v>1.368199014301563</v>
      </c>
      <c r="L10" s="19">
        <f t="shared" si="3"/>
        <v>1.3681984662861226</v>
      </c>
      <c r="M10" s="19">
        <f t="shared" si="3"/>
        <v>1.3681979565247693</v>
      </c>
      <c r="N10" s="19">
        <f t="shared" si="3"/>
        <v>1.3681975247708453</v>
      </c>
      <c r="O10" s="19">
        <f t="shared" si="3"/>
        <v>1.3681972048492526</v>
      </c>
      <c r="P10" s="19">
        <f t="shared" si="3"/>
        <v>1.3681970155333982</v>
      </c>
      <c r="Q10" s="19">
        <f t="shared" si="3"/>
        <v>1.3681969479854583</v>
      </c>
    </row>
    <row r="11" spans="2:17" x14ac:dyDescent="0.25">
      <c r="B11" s="28" t="s">
        <v>13</v>
      </c>
      <c r="C11" s="28">
        <v>288.16000000000003</v>
      </c>
      <c r="F11" s="18" t="s">
        <v>14</v>
      </c>
      <c r="G11" s="20">
        <v>0</v>
      </c>
      <c r="H11" s="20">
        <f>(H13)*(H10-I10)</f>
        <v>2.0486878584711911E-5</v>
      </c>
      <c r="I11" s="20">
        <f t="shared" ref="I11:P11" si="4">(I13)*(I10-J10)</f>
        <v>2.6489959391226534E-5</v>
      </c>
      <c r="J11" s="20">
        <f t="shared" si="4"/>
        <v>3.2018109612629951E-5</v>
      </c>
      <c r="K11" s="20">
        <f t="shared" si="4"/>
        <v>3.6413651034814233E-5</v>
      </c>
      <c r="L11" s="20">
        <f t="shared" si="4"/>
        <v>3.879115401283346E-5</v>
      </c>
      <c r="M11" s="20">
        <f t="shared" si="4"/>
        <v>3.8076862282068162E-5</v>
      </c>
      <c r="N11" s="20">
        <f t="shared" si="4"/>
        <v>3.319896700419684E-5</v>
      </c>
      <c r="O11" s="20">
        <f t="shared" si="4"/>
        <v>2.3603024133686942E-5</v>
      </c>
      <c r="P11" s="20">
        <f t="shared" si="4"/>
        <v>1.0452266591033399E-5</v>
      </c>
      <c r="Q11" s="6">
        <v>0</v>
      </c>
    </row>
    <row r="12" spans="2:17" x14ac:dyDescent="0.25">
      <c r="B12" s="28" t="s">
        <v>8</v>
      </c>
      <c r="C12" s="28">
        <v>101325</v>
      </c>
    </row>
    <row r="13" spans="2:17" x14ac:dyDescent="0.25">
      <c r="F13" s="18" t="s">
        <v>6</v>
      </c>
      <c r="G13" s="6">
        <f>(H4*H5*H7)/(G4*G7)</f>
        <v>42.000606674422357</v>
      </c>
      <c r="H13" s="21">
        <f t="shared" ref="H13:Q13" si="5">((G6-H6)/H7+G5*H5)^0.5</f>
        <v>46.626767688159291</v>
      </c>
      <c r="I13" s="21">
        <f t="shared" si="5"/>
        <v>52.082072299264787</v>
      </c>
      <c r="J13" s="21">
        <f t="shared" si="5"/>
        <v>58.586970894739075</v>
      </c>
      <c r="K13" s="21">
        <f t="shared" si="5"/>
        <v>66.446396128679325</v>
      </c>
      <c r="L13" s="21">
        <f t="shared" si="5"/>
        <v>76.096694576440584</v>
      </c>
      <c r="M13" s="21">
        <f t="shared" si="5"/>
        <v>88.191120381826622</v>
      </c>
      <c r="N13" s="21">
        <f t="shared" si="5"/>
        <v>103.77219842037697</v>
      </c>
      <c r="O13" s="21">
        <f t="shared" si="5"/>
        <v>124.67536972885881</v>
      </c>
      <c r="P13" s="21">
        <f t="shared" si="5"/>
        <v>154.73849543369866</v>
      </c>
      <c r="Q13" s="21">
        <f t="shared" si="5"/>
        <v>205.8782131357008</v>
      </c>
    </row>
    <row r="14" spans="2:17" x14ac:dyDescent="0.25">
      <c r="B14" s="18" t="s">
        <v>15</v>
      </c>
      <c r="C14" s="18">
        <v>2100</v>
      </c>
      <c r="D14">
        <v>2100</v>
      </c>
      <c r="F14" s="18" t="s">
        <v>8</v>
      </c>
      <c r="G14" s="22">
        <f>C10-(G7*G13^2)/2</f>
        <v>133570.95642610881</v>
      </c>
      <c r="H14" s="23">
        <f>H6+H11</f>
        <v>133222.14284659794</v>
      </c>
      <c r="I14" s="23">
        <f t="shared" ref="I14:Q14" si="6">I6+I11</f>
        <v>132763.83879270777</v>
      </c>
      <c r="J14" s="23">
        <f t="shared" si="6"/>
        <v>132151.17497214349</v>
      </c>
      <c r="K14" s="23">
        <f t="shared" si="6"/>
        <v>131315.5138414347</v>
      </c>
      <c r="L14" s="23">
        <f t="shared" si="6"/>
        <v>130148.06612038906</v>
      </c>
      <c r="M14" s="23">
        <f t="shared" si="6"/>
        <v>128468.45691842092</v>
      </c>
      <c r="N14" s="23">
        <f t="shared" si="6"/>
        <v>125958.94229389235</v>
      </c>
      <c r="O14" s="23">
        <f t="shared" si="6"/>
        <v>122007.74673497002</v>
      </c>
      <c r="P14" s="23">
        <f t="shared" si="6"/>
        <v>115244.93116816921</v>
      </c>
      <c r="Q14" s="22">
        <f t="shared" si="6"/>
        <v>101325</v>
      </c>
    </row>
    <row r="15" spans="2:17" x14ac:dyDescent="0.25">
      <c r="F15" s="18" t="s">
        <v>9</v>
      </c>
      <c r="G15" s="19">
        <f>G14/($C$7*G17)</f>
        <v>1.6201840032898784</v>
      </c>
      <c r="H15" s="19">
        <f t="shared" ref="H15:Q15" si="7">H14/($C$7*H17)</f>
        <v>1.6171018744587242</v>
      </c>
      <c r="I15" s="19">
        <f t="shared" si="7"/>
        <v>1.6130450119894755</v>
      </c>
      <c r="J15" s="19">
        <f t="shared" si="7"/>
        <v>1.607610019408882</v>
      </c>
      <c r="K15" s="19">
        <f t="shared" si="7"/>
        <v>1.6001769920314322</v>
      </c>
      <c r="L15" s="19">
        <f t="shared" si="7"/>
        <v>1.5897576855529187</v>
      </c>
      <c r="M15" s="19">
        <f t="shared" si="7"/>
        <v>1.574701172682367</v>
      </c>
      <c r="N15" s="19">
        <f t="shared" si="7"/>
        <v>1.5520697091801605</v>
      </c>
      <c r="O15" s="19">
        <f t="shared" si="7"/>
        <v>1.5161273654793381</v>
      </c>
      <c r="P15" s="19">
        <f t="shared" si="7"/>
        <v>1.4537677934615645</v>
      </c>
      <c r="Q15" s="19">
        <f t="shared" si="7"/>
        <v>1.3221123794095362</v>
      </c>
    </row>
    <row r="17" spans="6:25" x14ac:dyDescent="0.25">
      <c r="F17" s="18" t="s">
        <v>17</v>
      </c>
      <c r="G17" s="21">
        <f>$C$11-(G13^2)/(2*$C$8)</f>
        <v>287.28183843039653</v>
      </c>
      <c r="H17" s="21">
        <f t="shared" ref="H17:Q17" si="8">$C$11-(H13^2)/(2*$C$8)</f>
        <v>287.07773423683517</v>
      </c>
      <c r="I17" s="21">
        <f t="shared" si="8"/>
        <v>286.80967032308553</v>
      </c>
      <c r="J17" s="21">
        <f t="shared" si="8"/>
        <v>286.45130169323926</v>
      </c>
      <c r="K17" s="21">
        <f t="shared" si="8"/>
        <v>285.96210894141313</v>
      </c>
      <c r="L17" s="21">
        <f t="shared" si="8"/>
        <v>285.27733028402031</v>
      </c>
      <c r="M17" s="21">
        <f t="shared" si="8"/>
        <v>284.28819906700431</v>
      </c>
      <c r="N17" s="21">
        <f t="shared" si="8"/>
        <v>282.79925270559636</v>
      </c>
      <c r="O17" s="21">
        <f t="shared" si="8"/>
        <v>280.42207297041637</v>
      </c>
      <c r="P17" s="21">
        <f t="shared" si="8"/>
        <v>276.24044505720593</v>
      </c>
      <c r="Q17" s="21">
        <f t="shared" si="8"/>
        <v>267.05992102551323</v>
      </c>
    </row>
    <row r="18" spans="6:25" x14ac:dyDescent="0.25">
      <c r="F18" s="18" t="s">
        <v>18</v>
      </c>
      <c r="G18" s="24">
        <f>SQRT($C$6*$C$7*G17)</f>
        <v>339.73310294003858</v>
      </c>
      <c r="H18" s="24">
        <f t="shared" ref="H18:Q18" si="9">SQRT($C$6*$C$7*H17)</f>
        <v>339.61239696038524</v>
      </c>
      <c r="I18" s="24">
        <f t="shared" si="9"/>
        <v>339.4538003863546</v>
      </c>
      <c r="J18" s="24">
        <f t="shared" si="9"/>
        <v>339.24166036811744</v>
      </c>
      <c r="K18" s="24">
        <f t="shared" si="9"/>
        <v>338.9518633345881</v>
      </c>
      <c r="L18" s="24">
        <f t="shared" si="9"/>
        <v>338.54578484567224</v>
      </c>
      <c r="M18" s="24">
        <f t="shared" si="9"/>
        <v>337.95836176623726</v>
      </c>
      <c r="N18" s="24">
        <f t="shared" si="9"/>
        <v>337.07217922338612</v>
      </c>
      <c r="O18" s="24">
        <f t="shared" si="9"/>
        <v>335.65249347241985</v>
      </c>
      <c r="P18" s="24">
        <f t="shared" si="9"/>
        <v>333.14048417828042</v>
      </c>
      <c r="Q18" s="24">
        <f t="shared" si="9"/>
        <v>327.55794528471904</v>
      </c>
    </row>
    <row r="19" spans="6:25" x14ac:dyDescent="0.25">
      <c r="F19" s="18" t="s">
        <v>19</v>
      </c>
      <c r="G19" s="20">
        <f>G13/G18</f>
        <v>0.12362824320312196</v>
      </c>
      <c r="H19" s="20">
        <f t="shared" ref="H19:Q19" si="10">H13/H18</f>
        <v>0.13729406848949086</v>
      </c>
      <c r="I19" s="20">
        <f t="shared" si="10"/>
        <v>0.15342904465935209</v>
      </c>
      <c r="J19" s="20">
        <f t="shared" si="10"/>
        <v>0.17269981178362723</v>
      </c>
      <c r="K19" s="20">
        <f t="shared" si="10"/>
        <v>0.19603490441086138</v>
      </c>
      <c r="L19" s="20">
        <f t="shared" si="10"/>
        <v>0.22477519432454204</v>
      </c>
      <c r="M19" s="20">
        <f t="shared" si="10"/>
        <v>0.26095262126648494</v>
      </c>
      <c r="N19" s="20">
        <f t="shared" si="10"/>
        <v>0.30786343346243522</v>
      </c>
      <c r="O19" s="20">
        <f t="shared" si="10"/>
        <v>0.37144181006688465</v>
      </c>
      <c r="P19" s="20">
        <f t="shared" si="10"/>
        <v>0.46448421246482374</v>
      </c>
      <c r="Q19" s="20">
        <f t="shared" si="10"/>
        <v>0.62852455908754679</v>
      </c>
    </row>
    <row r="20" spans="6:25" x14ac:dyDescent="0.25">
      <c r="F20" s="18" t="s">
        <v>23</v>
      </c>
      <c r="G20" s="18">
        <f>1-((($C$6-1)/($C$6+1))*G21^2)</f>
        <v>0.99703387952614664</v>
      </c>
      <c r="H20" s="18">
        <f t="shared" ref="H20:Q20" si="11">1-((($C$6-1)/($C$6+1))*H21^2)</f>
        <v>0.99636702832237356</v>
      </c>
      <c r="I20" s="18">
        <f t="shared" si="11"/>
        <v>0.99550360038706931</v>
      </c>
      <c r="J20" s="18">
        <f t="shared" si="11"/>
        <v>0.9943707427311228</v>
      </c>
      <c r="K20" s="18">
        <f t="shared" si="11"/>
        <v>0.99286263649509221</v>
      </c>
      <c r="L20" s="18">
        <f t="shared" si="11"/>
        <v>0.99082258025738246</v>
      </c>
      <c r="M20" s="18">
        <f t="shared" si="11"/>
        <v>0.98801325161307252</v>
      </c>
      <c r="N20" s="18">
        <f t="shared" si="11"/>
        <v>0.98406471121955297</v>
      </c>
      <c r="O20" s="18">
        <f t="shared" si="11"/>
        <v>0.97837371183935939</v>
      </c>
      <c r="P20" s="18">
        <f t="shared" si="11"/>
        <v>0.96985722461112989</v>
      </c>
      <c r="Q20" s="18">
        <f t="shared" si="11"/>
        <v>0.95586323028003539</v>
      </c>
    </row>
    <row r="21" spans="6:25" x14ac:dyDescent="0.25">
      <c r="F21" s="18" t="s">
        <v>24</v>
      </c>
      <c r="G21" s="18">
        <f>SQRT(((($C$6+1)/2)*G19^2)/(1+2*G19^2))</f>
        <v>0.13340435841126183</v>
      </c>
      <c r="H21" s="18">
        <f>SQRT(((($C$6+1)/2)*H19^2)/(1+2*H19^2))</f>
        <v>0.14764088209489482</v>
      </c>
      <c r="I21" s="18">
        <f t="shared" ref="I21:Q21" si="12">SQRT(((($C$6+1)/2)*I19^2)/(1+2*I19^2))</f>
        <v>0.16425102032433242</v>
      </c>
      <c r="J21" s="18">
        <f t="shared" si="12"/>
        <v>0.18378123846917366</v>
      </c>
      <c r="K21" s="18">
        <f t="shared" si="12"/>
        <v>0.20694004211231493</v>
      </c>
      <c r="L21" s="18">
        <f t="shared" si="12"/>
        <v>0.23465830148474401</v>
      </c>
      <c r="M21" s="18">
        <f t="shared" si="12"/>
        <v>0.26817995883653312</v>
      </c>
      <c r="N21" s="18">
        <f t="shared" si="12"/>
        <v>0.30921146919653891</v>
      </c>
      <c r="O21" s="18">
        <f t="shared" si="12"/>
        <v>0.36021900139199114</v>
      </c>
      <c r="P21" s="18">
        <f t="shared" si="12"/>
        <v>0.42527244483180526</v>
      </c>
      <c r="Q21" s="18">
        <f t="shared" si="12"/>
        <v>0.51460724666466562</v>
      </c>
    </row>
    <row r="22" spans="6:25" x14ac:dyDescent="0.25">
      <c r="F22" s="18" t="s">
        <v>25</v>
      </c>
      <c r="G22" s="18">
        <f>(1-((($C$6-1)/($C$6+1))*G21^2))^($C$6/($C$6-1))</f>
        <v>0.98965701196284228</v>
      </c>
      <c r="H22" s="18">
        <f t="shared" ref="H22:Q22" si="13">(1-((($C$6-1)/($C$6+1))*H21^2))^($C$6/($C$6-1))</f>
        <v>0.98734223765000018</v>
      </c>
      <c r="I22" s="18">
        <f t="shared" si="13"/>
        <v>0.9843508546501698</v>
      </c>
      <c r="J22" s="18">
        <f t="shared" si="13"/>
        <v>0.98043584697212383</v>
      </c>
      <c r="K22" s="18">
        <f t="shared" si="13"/>
        <v>0.97524130415239918</v>
      </c>
      <c r="L22" s="18">
        <f t="shared" si="13"/>
        <v>0.96824582649374835</v>
      </c>
      <c r="M22" s="18">
        <f t="shared" si="13"/>
        <v>0.95867122815538752</v>
      </c>
      <c r="N22" s="18">
        <f t="shared" si="13"/>
        <v>0.94532861395400081</v>
      </c>
      <c r="O22" s="18">
        <f t="shared" si="13"/>
        <v>0.92633209731818733</v>
      </c>
      <c r="P22" s="18">
        <f t="shared" si="13"/>
        <v>0.89841567049182181</v>
      </c>
      <c r="Q22" s="18">
        <f t="shared" si="13"/>
        <v>0.85385700339830739</v>
      </c>
    </row>
    <row r="23" spans="6:25" x14ac:dyDescent="0.25">
      <c r="F23" s="18" t="s">
        <v>11</v>
      </c>
      <c r="G23" s="18">
        <f>G14/G22</f>
        <v>134966.91764067841</v>
      </c>
      <c r="H23" s="18">
        <f t="shared" ref="H23:Q23" si="14">H14/H22</f>
        <v>134930.05542200195</v>
      </c>
      <c r="I23" s="18">
        <f t="shared" si="14"/>
        <v>134874.50959738431</v>
      </c>
      <c r="J23" s="18">
        <f t="shared" si="14"/>
        <v>134788.19178252757</v>
      </c>
      <c r="K23" s="18">
        <f t="shared" si="14"/>
        <v>134649.25376142011</v>
      </c>
      <c r="L23" s="18">
        <f t="shared" si="14"/>
        <v>134416.34609641085</v>
      </c>
      <c r="M23" s="18">
        <f t="shared" si="14"/>
        <v>134006.79309590999</v>
      </c>
      <c r="N23" s="18">
        <f t="shared" si="14"/>
        <v>133243.55196130925</v>
      </c>
      <c r="O23" s="18">
        <f t="shared" si="14"/>
        <v>131710.58963431488</v>
      </c>
      <c r="P23" s="18">
        <f t="shared" si="14"/>
        <v>128275.7357794977</v>
      </c>
      <c r="Q23" s="18">
        <f t="shared" si="14"/>
        <v>118667.41104977961</v>
      </c>
      <c r="S23" s="29"/>
    </row>
    <row r="24" spans="6:25" x14ac:dyDescent="0.25">
      <c r="T24" s="5"/>
      <c r="U24" s="5">
        <v>0</v>
      </c>
      <c r="V24" s="4">
        <v>2.5000000000000001E-2</v>
      </c>
      <c r="W24" s="5">
        <v>0.05</v>
      </c>
      <c r="X24" s="4">
        <v>7.4999999999999997E-2</v>
      </c>
      <c r="Y24" s="5">
        <v>0.1</v>
      </c>
    </row>
    <row r="25" spans="6:25" x14ac:dyDescent="0.25">
      <c r="T25" s="5" t="s">
        <v>20</v>
      </c>
      <c r="U25" s="7">
        <v>46.31</v>
      </c>
      <c r="V25" s="5">
        <v>58.19</v>
      </c>
      <c r="W25" s="5">
        <v>80.48</v>
      </c>
      <c r="X25" s="5">
        <v>120.03</v>
      </c>
      <c r="Y25" s="5">
        <v>213.26</v>
      </c>
    </row>
    <row r="26" spans="6:25" x14ac:dyDescent="0.25">
      <c r="T26" s="5" t="s">
        <v>21</v>
      </c>
      <c r="U26" s="8">
        <v>133165</v>
      </c>
      <c r="V26" s="8">
        <v>132230</v>
      </c>
      <c r="W26" s="8">
        <v>129765</v>
      </c>
      <c r="X26" s="8">
        <v>123565</v>
      </c>
      <c r="Y26" s="8">
        <v>101336</v>
      </c>
    </row>
    <row r="27" spans="6:25" x14ac:dyDescent="0.25">
      <c r="T27" s="5" t="s">
        <v>22</v>
      </c>
      <c r="U27" s="4">
        <v>1.387</v>
      </c>
      <c r="V27" s="5"/>
      <c r="W27" s="5"/>
      <c r="X27" s="5"/>
      <c r="Y27" s="5"/>
    </row>
    <row r="30" spans="6:25" x14ac:dyDescent="0.25">
      <c r="J30" s="2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4645-0063-4CC1-84BE-E2B79F5D75AF}">
  <dimension ref="B1:Y30"/>
  <sheetViews>
    <sheetView topLeftCell="A2" zoomScale="60" zoomScaleNormal="60" workbookViewId="0">
      <selection activeCell="A24" sqref="A24:Z60"/>
    </sheetView>
  </sheetViews>
  <sheetFormatPr defaultRowHeight="15" x14ac:dyDescent="0.25"/>
  <sheetData>
    <row r="1" spans="2:17" x14ac:dyDescent="0.25">
      <c r="F1" s="18" t="s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</row>
    <row r="2" spans="2:17" x14ac:dyDescent="0.25">
      <c r="F2" s="18" t="s">
        <v>1</v>
      </c>
      <c r="G2" s="19">
        <v>0</v>
      </c>
      <c r="H2" s="19">
        <f>G2+$C$4</f>
        <v>0.01</v>
      </c>
      <c r="I2" s="19">
        <f t="shared" ref="I2:Q2" si="0">H2+$C$4</f>
        <v>0.02</v>
      </c>
      <c r="J2" s="19">
        <f t="shared" si="0"/>
        <v>0.03</v>
      </c>
      <c r="K2" s="19">
        <f t="shared" si="0"/>
        <v>0.04</v>
      </c>
      <c r="L2" s="19">
        <f t="shared" si="0"/>
        <v>0.05</v>
      </c>
      <c r="M2" s="19">
        <f t="shared" si="0"/>
        <v>6.0000000000000005E-2</v>
      </c>
      <c r="N2" s="19">
        <f t="shared" si="0"/>
        <v>7.0000000000000007E-2</v>
      </c>
      <c r="O2" s="19">
        <f t="shared" si="0"/>
        <v>0.08</v>
      </c>
      <c r="P2" s="19">
        <f t="shared" si="0"/>
        <v>0.09</v>
      </c>
      <c r="Q2" s="19">
        <f t="shared" si="0"/>
        <v>9.9999999999999992E-2</v>
      </c>
    </row>
    <row r="3" spans="2:17" x14ac:dyDescent="0.25">
      <c r="B3" s="18" t="s">
        <v>2</v>
      </c>
      <c r="C3" s="18">
        <v>0.1</v>
      </c>
      <c r="F3" s="18" t="s">
        <v>3</v>
      </c>
      <c r="G3" s="3">
        <v>0.08</v>
      </c>
      <c r="H3" s="18">
        <f>G3+($Q$3-$G$3)/10</f>
        <v>7.5999999999999998E-2</v>
      </c>
      <c r="I3" s="18">
        <f t="shared" ref="I3:P3" si="1">H3+($Q$3-$G$3)/10</f>
        <v>7.1999999999999995E-2</v>
      </c>
      <c r="J3" s="18">
        <f t="shared" si="1"/>
        <v>6.7999999999999991E-2</v>
      </c>
      <c r="K3" s="18">
        <f t="shared" si="1"/>
        <v>6.3999999999999987E-2</v>
      </c>
      <c r="L3" s="18">
        <f t="shared" si="1"/>
        <v>5.9999999999999984E-2</v>
      </c>
      <c r="M3" s="18">
        <f t="shared" si="1"/>
        <v>5.599999999999998E-2</v>
      </c>
      <c r="N3" s="18">
        <f t="shared" si="1"/>
        <v>5.1999999999999977E-2</v>
      </c>
      <c r="O3" s="18">
        <f t="shared" si="1"/>
        <v>4.7999999999999973E-2</v>
      </c>
      <c r="P3" s="18">
        <f t="shared" si="1"/>
        <v>4.399999999999997E-2</v>
      </c>
      <c r="Q3" s="3">
        <v>0.04</v>
      </c>
    </row>
    <row r="4" spans="2:17" x14ac:dyDescent="0.25">
      <c r="B4" s="18" t="s">
        <v>4</v>
      </c>
      <c r="C4" s="18">
        <f>C3/10</f>
        <v>0.01</v>
      </c>
      <c r="F4" s="18" t="s">
        <v>5</v>
      </c>
      <c r="G4" s="19">
        <f>(PI()*(2*G3)^2)/4</f>
        <v>2.0106192982974676E-2</v>
      </c>
      <c r="H4" s="19">
        <f t="shared" ref="H4:Q4" si="2">(PI()*(2*H3)^2)/4</f>
        <v>1.8145839167134643E-2</v>
      </c>
      <c r="I4" s="19">
        <f t="shared" si="2"/>
        <v>1.6286016316209486E-2</v>
      </c>
      <c r="J4" s="19">
        <f t="shared" si="2"/>
        <v>1.4526724430199199E-2</v>
      </c>
      <c r="K4" s="19">
        <f t="shared" si="2"/>
        <v>1.2867963509103787E-2</v>
      </c>
      <c r="L4" s="19">
        <f t="shared" si="2"/>
        <v>1.1309733552923249E-2</v>
      </c>
      <c r="M4" s="19">
        <f t="shared" si="2"/>
        <v>9.8520345616575841E-3</v>
      </c>
      <c r="N4" s="19">
        <f t="shared" si="2"/>
        <v>8.4948665353067939E-3</v>
      </c>
      <c r="O4" s="19">
        <f t="shared" si="2"/>
        <v>7.2382294738708754E-3</v>
      </c>
      <c r="P4" s="19">
        <f t="shared" si="2"/>
        <v>6.0821233773498311E-3</v>
      </c>
      <c r="Q4" s="19">
        <f t="shared" si="2"/>
        <v>5.0265482457436689E-3</v>
      </c>
    </row>
    <row r="5" spans="2:17" x14ac:dyDescent="0.25">
      <c r="F5" s="18" t="s">
        <v>6</v>
      </c>
      <c r="G5" s="18">
        <v>18.971446006970076</v>
      </c>
      <c r="H5" s="18">
        <v>21.0209928061212</v>
      </c>
      <c r="I5" s="18">
        <v>23.421538318845503</v>
      </c>
      <c r="J5" s="18">
        <v>26.258056843864328</v>
      </c>
      <c r="K5" s="18">
        <v>29.642884530831825</v>
      </c>
      <c r="L5" s="18">
        <v>33.727015335766644</v>
      </c>
      <c r="M5" s="18">
        <v>38.717237036476099</v>
      </c>
      <c r="N5" s="18">
        <v>44.902831155330936</v>
      </c>
      <c r="O5" s="18">
        <v>52.69846158880005</v>
      </c>
      <c r="P5" s="18">
        <v>62.715524546978912</v>
      </c>
      <c r="Q5" s="18">
        <v>75.885784703401725</v>
      </c>
    </row>
    <row r="6" spans="2:17" x14ac:dyDescent="0.25">
      <c r="B6" s="28" t="s">
        <v>7</v>
      </c>
      <c r="C6" s="28">
        <v>1.4</v>
      </c>
      <c r="F6" s="18" t="s">
        <v>8</v>
      </c>
      <c r="G6" s="18">
        <v>104786.74991006973</v>
      </c>
      <c r="H6" s="18">
        <v>104735.69595244208</v>
      </c>
      <c r="I6" s="18">
        <v>104669.06995698302</v>
      </c>
      <c r="J6" s="18">
        <v>104580.809421313</v>
      </c>
      <c r="K6" s="18">
        <v>104461.91119458094</v>
      </c>
      <c r="L6" s="18">
        <v>104298.68272692923</v>
      </c>
      <c r="M6" s="18">
        <v>104069.73172510319</v>
      </c>
      <c r="N6" s="18">
        <v>103740.59715942628</v>
      </c>
      <c r="O6" s="18">
        <v>103253.778148224</v>
      </c>
      <c r="P6" s="18">
        <v>102509.33109917059</v>
      </c>
      <c r="Q6" s="18">
        <v>101325</v>
      </c>
    </row>
    <row r="7" spans="2:17" x14ac:dyDescent="0.25">
      <c r="B7" s="28" t="s">
        <v>3</v>
      </c>
      <c r="C7" s="28">
        <v>286.97199999999998</v>
      </c>
      <c r="F7" s="18" t="s">
        <v>9</v>
      </c>
      <c r="G7" s="18">
        <v>1.1850000000000001</v>
      </c>
      <c r="H7" s="18">
        <v>1.1850000000000001</v>
      </c>
      <c r="I7" s="18">
        <v>1.1850000000000001</v>
      </c>
      <c r="J7" s="18">
        <v>1.1850000000000001</v>
      </c>
      <c r="K7" s="18">
        <v>1.1850000000000001</v>
      </c>
      <c r="L7" s="18">
        <v>1.1850000000000001</v>
      </c>
      <c r="M7" s="18">
        <v>1.1850000000000001</v>
      </c>
      <c r="N7" s="18">
        <v>1.1850000000000001</v>
      </c>
      <c r="O7" s="18">
        <v>1.1850000000000001</v>
      </c>
      <c r="P7" s="18">
        <v>1.1850000000000001</v>
      </c>
      <c r="Q7" s="18">
        <v>1.1850000000000001</v>
      </c>
    </row>
    <row r="8" spans="2:17" x14ac:dyDescent="0.25">
      <c r="B8" s="28" t="s">
        <v>10</v>
      </c>
      <c r="C8" s="28">
        <v>1004.4</v>
      </c>
    </row>
    <row r="9" spans="2:17" x14ac:dyDescent="0.25">
      <c r="B9" s="30"/>
      <c r="C9" s="30"/>
    </row>
    <row r="10" spans="2:17" x14ac:dyDescent="0.25">
      <c r="B10" s="28" t="s">
        <v>11</v>
      </c>
      <c r="C10" s="28">
        <v>105000</v>
      </c>
      <c r="F10" s="18" t="s">
        <v>12</v>
      </c>
      <c r="G10" s="19">
        <f>G4*G7*G13</f>
        <v>0.45201061219314304</v>
      </c>
      <c r="H10" s="19">
        <f>H4*H7*H13</f>
        <v>0.45201061220632605</v>
      </c>
      <c r="I10" s="19">
        <f t="shared" ref="I10:Q10" si="3">I4*I7*I13</f>
        <v>0.45201061293768202</v>
      </c>
      <c r="J10" s="19">
        <f t="shared" si="3"/>
        <v>0.45201061368476897</v>
      </c>
      <c r="K10" s="19">
        <f t="shared" si="3"/>
        <v>0.45201061439841633</v>
      </c>
      <c r="L10" s="19">
        <f t="shared" si="3"/>
        <v>0.45201061503083062</v>
      </c>
      <c r="M10" s="19">
        <f t="shared" si="3"/>
        <v>0.45201061554110328</v>
      </c>
      <c r="N10" s="19">
        <f t="shared" si="3"/>
        <v>0.45201061590282221</v>
      </c>
      <c r="O10" s="19">
        <f t="shared" si="3"/>
        <v>0.45201061611226834</v>
      </c>
      <c r="P10" s="19">
        <f t="shared" si="3"/>
        <v>0.45201061619487437</v>
      </c>
      <c r="Q10" s="19">
        <f t="shared" si="3"/>
        <v>0.45201061620397215</v>
      </c>
    </row>
    <row r="11" spans="2:17" x14ac:dyDescent="0.25">
      <c r="B11" s="28" t="s">
        <v>13</v>
      </c>
      <c r="C11" s="28">
        <v>288.16000000000003</v>
      </c>
      <c r="F11" s="18" t="s">
        <v>14</v>
      </c>
      <c r="G11" s="20">
        <v>0</v>
      </c>
      <c r="H11" s="20">
        <f>(H13)*(H10-I10)</f>
        <v>-1.5373828706042878E-8</v>
      </c>
      <c r="I11" s="20">
        <f t="shared" ref="I11:P11" si="4">(I13)*(I10-J10)</f>
        <v>-1.7497925577304141E-8</v>
      </c>
      <c r="J11" s="20">
        <f t="shared" si="4"/>
        <v>-1.8738993035750502E-8</v>
      </c>
      <c r="K11" s="20">
        <f t="shared" si="4"/>
        <v>-1.8746583703458313E-8</v>
      </c>
      <c r="L11" s="20">
        <f t="shared" si="4"/>
        <v>-1.7209973743852255E-8</v>
      </c>
      <c r="M11" s="20">
        <f t="shared" si="4"/>
        <v>-1.4004757653576565E-8</v>
      </c>
      <c r="N11" s="20">
        <f t="shared" si="4"/>
        <v>-9.4047240817386598E-9</v>
      </c>
      <c r="O11" s="20">
        <f t="shared" si="4"/>
        <v>-4.3532108636481587E-9</v>
      </c>
      <c r="P11" s="20">
        <f t="shared" si="4"/>
        <v>-5.7057192490385382E-10</v>
      </c>
      <c r="Q11" s="6">
        <v>0</v>
      </c>
    </row>
    <row r="12" spans="2:17" x14ac:dyDescent="0.25">
      <c r="B12" s="28" t="s">
        <v>8</v>
      </c>
      <c r="C12" s="28">
        <v>101325</v>
      </c>
    </row>
    <row r="13" spans="2:17" x14ac:dyDescent="0.25">
      <c r="B13" s="30"/>
      <c r="C13" s="30"/>
      <c r="F13" s="18" t="s">
        <v>6</v>
      </c>
      <c r="G13" s="6">
        <f>(H4*H5*H7)/(G4*G7)</f>
        <v>18.971446007524381</v>
      </c>
      <c r="H13" s="21">
        <f t="shared" ref="H13:Q13" si="5">((G6-H6)/H7+G5*H5)^0.5</f>
        <v>21.020992806734284</v>
      </c>
      <c r="I13" s="21">
        <f t="shared" si="5"/>
        <v>23.421538319473587</v>
      </c>
      <c r="J13" s="21">
        <f t="shared" si="5"/>
        <v>26.258056844470282</v>
      </c>
      <c r="K13" s="21">
        <f t="shared" si="5"/>
        <v>29.642884531378819</v>
      </c>
      <c r="L13" s="21">
        <f t="shared" si="5"/>
        <v>33.727015336223388</v>
      </c>
      <c r="M13" s="21">
        <f t="shared" si="5"/>
        <v>38.717237036821302</v>
      </c>
      <c r="N13" s="21">
        <f t="shared" si="5"/>
        <v>44.902831155560314</v>
      </c>
      <c r="O13" s="21">
        <f t="shared" si="5"/>
        <v>52.698461588930414</v>
      </c>
      <c r="P13" s="21">
        <f t="shared" si="5"/>
        <v>62.715524547048041</v>
      </c>
      <c r="Q13" s="21">
        <f t="shared" si="5"/>
        <v>75.885784703455414</v>
      </c>
    </row>
    <row r="14" spans="2:17" x14ac:dyDescent="0.25">
      <c r="B14" s="28" t="s">
        <v>15</v>
      </c>
      <c r="C14" s="28">
        <v>1000</v>
      </c>
      <c r="D14">
        <v>1000</v>
      </c>
      <c r="F14" s="18" t="s">
        <v>8</v>
      </c>
      <c r="G14" s="22">
        <f>C10-(G7*G13^2)/2</f>
        <v>104786.74991005727</v>
      </c>
      <c r="H14" s="18">
        <f>H6+H11</f>
        <v>104735.69595242671</v>
      </c>
      <c r="I14" s="18">
        <f t="shared" ref="I14:Q14" si="6">I6+I11</f>
        <v>104669.06995696553</v>
      </c>
      <c r="J14" s="18">
        <f t="shared" si="6"/>
        <v>104580.80942129425</v>
      </c>
      <c r="K14" s="18">
        <f t="shared" si="6"/>
        <v>104461.9111945622</v>
      </c>
      <c r="L14" s="18">
        <f t="shared" si="6"/>
        <v>104298.68272691201</v>
      </c>
      <c r="M14" s="18">
        <f t="shared" si="6"/>
        <v>104069.73172508919</v>
      </c>
      <c r="N14" s="18">
        <f t="shared" si="6"/>
        <v>103740.59715941688</v>
      </c>
      <c r="O14" s="18">
        <f t="shared" si="6"/>
        <v>103253.77814821964</v>
      </c>
      <c r="P14" s="18">
        <f t="shared" si="6"/>
        <v>102509.33109917003</v>
      </c>
      <c r="Q14" s="6">
        <f t="shared" si="6"/>
        <v>101325</v>
      </c>
    </row>
    <row r="15" spans="2:17" x14ac:dyDescent="0.25">
      <c r="F15" s="18" t="s">
        <v>9</v>
      </c>
      <c r="G15" s="18">
        <v>1.1850000000000001</v>
      </c>
      <c r="H15" s="18">
        <v>1.1850000000000001</v>
      </c>
      <c r="I15" s="18">
        <v>1.1850000000000001</v>
      </c>
      <c r="J15" s="18">
        <v>1.1850000000000001</v>
      </c>
      <c r="K15" s="18">
        <v>1.1850000000000001</v>
      </c>
      <c r="L15" s="18">
        <v>1.1850000000000001</v>
      </c>
      <c r="M15" s="18">
        <v>1.1850000000000001</v>
      </c>
      <c r="N15" s="18">
        <v>1.1850000000000001</v>
      </c>
      <c r="O15" s="18">
        <v>1.1850000000000001</v>
      </c>
      <c r="P15" s="18">
        <v>1.1850000000000001</v>
      </c>
      <c r="Q15" s="18">
        <v>1.1850000000000001</v>
      </c>
    </row>
    <row r="17" spans="6:25" x14ac:dyDescent="0.25">
      <c r="F17" s="18" t="s">
        <v>17</v>
      </c>
      <c r="G17" s="21">
        <f>$C$11-(G13^2)/(2*$C$8)</f>
        <v>287.98083046414956</v>
      </c>
      <c r="H17" s="21">
        <f t="shared" ref="H17:Q17" si="7">$C$11-(H13^2)/(2*$C$8)</f>
        <v>287.94002681273361</v>
      </c>
      <c r="I17" s="21">
        <f t="shared" si="7"/>
        <v>287.88691733510029</v>
      </c>
      <c r="J17" s="21">
        <f t="shared" si="7"/>
        <v>287.81676744860243</v>
      </c>
      <c r="K17" s="21">
        <f t="shared" si="7"/>
        <v>287.72257437109687</v>
      </c>
      <c r="L17" s="21">
        <f t="shared" si="7"/>
        <v>287.59373578081949</v>
      </c>
      <c r="M17" s="21">
        <f t="shared" si="7"/>
        <v>287.41377118490374</v>
      </c>
      <c r="N17" s="21">
        <f t="shared" si="7"/>
        <v>287.15628422651099</v>
      </c>
      <c r="O17" s="21">
        <f t="shared" si="7"/>
        <v>286.77751898952613</v>
      </c>
      <c r="P17" s="21">
        <f t="shared" si="7"/>
        <v>286.20199670489279</v>
      </c>
      <c r="Q17" s="21">
        <f t="shared" si="7"/>
        <v>285.29328737551816</v>
      </c>
    </row>
    <row r="18" spans="6:25" x14ac:dyDescent="0.25">
      <c r="F18" s="18" t="s">
        <v>18</v>
      </c>
      <c r="G18" s="24">
        <f>SQRT($C$6*$C$7*G17)</f>
        <v>340.14615804377547</v>
      </c>
      <c r="H18" s="24">
        <f t="shared" ref="H18:Q18" si="8">SQRT($C$6*$C$7*H17)</f>
        <v>340.12205974371216</v>
      </c>
      <c r="I18" s="24">
        <f t="shared" si="8"/>
        <v>340.09069116646481</v>
      </c>
      <c r="J18" s="24">
        <f t="shared" si="8"/>
        <v>340.04925340833267</v>
      </c>
      <c r="K18" s="24">
        <f t="shared" si="8"/>
        <v>339.99360531838147</v>
      </c>
      <c r="L18" s="24">
        <f t="shared" si="8"/>
        <v>339.91747434089154</v>
      </c>
      <c r="M18" s="24">
        <f t="shared" si="8"/>
        <v>339.8111043539688</v>
      </c>
      <c r="N18" s="24">
        <f t="shared" si="8"/>
        <v>339.65885602449765</v>
      </c>
      <c r="O18" s="24">
        <f t="shared" si="8"/>
        <v>339.4347734856392</v>
      </c>
      <c r="P18" s="24">
        <f t="shared" si="8"/>
        <v>339.09400342346822</v>
      </c>
      <c r="Q18" s="24">
        <f t="shared" si="8"/>
        <v>338.55525305423646</v>
      </c>
    </row>
    <row r="19" spans="6:25" x14ac:dyDescent="0.25">
      <c r="F19" s="18" t="s">
        <v>19</v>
      </c>
      <c r="G19" s="20">
        <f>G13/G18</f>
        <v>5.577439450332651E-2</v>
      </c>
      <c r="H19" s="20">
        <f t="shared" ref="H19:Q19" si="9">H13/H18</f>
        <v>6.1804261748191119E-2</v>
      </c>
      <c r="I19" s="20">
        <f t="shared" si="9"/>
        <v>6.8868507512337071E-2</v>
      </c>
      <c r="J19" s="20">
        <f t="shared" si="9"/>
        <v>7.7218392868927982E-2</v>
      </c>
      <c r="K19" s="20">
        <f t="shared" si="9"/>
        <v>8.7186594299678732E-2</v>
      </c>
      <c r="L19" s="20">
        <f t="shared" si="9"/>
        <v>9.9221187147324252E-2</v>
      </c>
      <c r="M19" s="20">
        <f t="shared" si="9"/>
        <v>0.11393752746964671</v>
      </c>
      <c r="N19" s="20">
        <f t="shared" si="9"/>
        <v>0.13219979505648966</v>
      </c>
      <c r="O19" s="20">
        <f t="shared" si="9"/>
        <v>0.15525357360347167</v>
      </c>
      <c r="P19" s="20">
        <f t="shared" si="9"/>
        <v>0.18495026132540446</v>
      </c>
      <c r="Q19" s="20">
        <f t="shared" si="9"/>
        <v>0.22414593783100606</v>
      </c>
    </row>
    <row r="24" spans="6:25" x14ac:dyDescent="0.25">
      <c r="T24" s="5"/>
      <c r="U24" s="5">
        <v>0</v>
      </c>
      <c r="V24" s="4">
        <v>2.5000000000000001E-2</v>
      </c>
      <c r="W24" s="5">
        <v>0.05</v>
      </c>
      <c r="X24" s="4">
        <v>7.4999999999999997E-2</v>
      </c>
      <c r="Y24" s="5">
        <v>0.1</v>
      </c>
    </row>
    <row r="25" spans="6:25" x14ac:dyDescent="0.25">
      <c r="T25" s="5" t="s">
        <v>20</v>
      </c>
      <c r="U25" s="7">
        <v>20.67</v>
      </c>
      <c r="V25" s="5">
        <v>25.84</v>
      </c>
      <c r="W25" s="5">
        <v>35.26</v>
      </c>
      <c r="X25" s="5">
        <v>50.77</v>
      </c>
      <c r="Y25" s="5">
        <v>78.61</v>
      </c>
    </row>
    <row r="26" spans="6:25" x14ac:dyDescent="0.25">
      <c r="T26" s="5" t="s">
        <v>21</v>
      </c>
      <c r="U26" s="8">
        <v>104733</v>
      </c>
      <c r="V26" s="8">
        <v>104600</v>
      </c>
      <c r="W26" s="8">
        <v>104259</v>
      </c>
      <c r="X26" s="8">
        <v>103465</v>
      </c>
      <c r="Y26" s="8">
        <v>101336</v>
      </c>
    </row>
    <row r="27" spans="6:25" x14ac:dyDescent="0.25">
      <c r="T27" s="5" t="s">
        <v>22</v>
      </c>
      <c r="U27" s="4">
        <v>0.45300000000000001</v>
      </c>
      <c r="V27" s="5"/>
      <c r="W27" s="5"/>
      <c r="X27" s="5"/>
      <c r="Y27" s="5"/>
    </row>
    <row r="30" spans="6:25" x14ac:dyDescent="0.25">
      <c r="J30" s="2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33B5C-4177-4572-AF62-AEC2858450F7}">
  <dimension ref="B1:Y30"/>
  <sheetViews>
    <sheetView zoomScale="70" zoomScaleNormal="70" workbookViewId="0">
      <selection activeCell="R13" sqref="R13"/>
    </sheetView>
  </sheetViews>
  <sheetFormatPr defaultRowHeight="15" x14ac:dyDescent="0.25"/>
  <sheetData>
    <row r="1" spans="2:17" x14ac:dyDescent="0.25">
      <c r="F1" s="18" t="s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</row>
    <row r="2" spans="2:17" x14ac:dyDescent="0.25">
      <c r="F2" s="18" t="s">
        <v>1</v>
      </c>
      <c r="G2" s="19">
        <v>0</v>
      </c>
      <c r="H2" s="19">
        <f>G2+$C$4</f>
        <v>0.01</v>
      </c>
      <c r="I2" s="19">
        <f t="shared" ref="I2:Q2" si="0">H2+$C$4</f>
        <v>0.02</v>
      </c>
      <c r="J2" s="19">
        <f t="shared" si="0"/>
        <v>0.03</v>
      </c>
      <c r="K2" s="19">
        <f t="shared" si="0"/>
        <v>0.04</v>
      </c>
      <c r="L2" s="19">
        <f t="shared" si="0"/>
        <v>0.05</v>
      </c>
      <c r="M2" s="19">
        <f t="shared" si="0"/>
        <v>6.0000000000000005E-2</v>
      </c>
      <c r="N2" s="19">
        <f t="shared" si="0"/>
        <v>7.0000000000000007E-2</v>
      </c>
      <c r="O2" s="19">
        <f t="shared" si="0"/>
        <v>0.08</v>
      </c>
      <c r="P2" s="19">
        <f t="shared" si="0"/>
        <v>0.09</v>
      </c>
      <c r="Q2" s="19">
        <f t="shared" si="0"/>
        <v>9.9999999999999992E-2</v>
      </c>
    </row>
    <row r="3" spans="2:17" x14ac:dyDescent="0.25">
      <c r="B3" s="28" t="s">
        <v>2</v>
      </c>
      <c r="C3" s="28">
        <v>0.1</v>
      </c>
      <c r="F3" s="18" t="s">
        <v>3</v>
      </c>
      <c r="G3" s="3">
        <v>0.08</v>
      </c>
      <c r="H3" s="18">
        <f>G3+($Q$3-$G$3)/10</f>
        <v>7.5999999999999998E-2</v>
      </c>
      <c r="I3" s="18">
        <f t="shared" ref="I3:P3" si="1">H3+($Q$3-$G$3)/10</f>
        <v>7.1999999999999995E-2</v>
      </c>
      <c r="J3" s="18">
        <f t="shared" si="1"/>
        <v>6.7999999999999991E-2</v>
      </c>
      <c r="K3" s="18">
        <f t="shared" si="1"/>
        <v>6.3999999999999987E-2</v>
      </c>
      <c r="L3" s="18">
        <f t="shared" si="1"/>
        <v>5.9999999999999984E-2</v>
      </c>
      <c r="M3" s="18">
        <f t="shared" si="1"/>
        <v>5.599999999999998E-2</v>
      </c>
      <c r="N3" s="18">
        <f t="shared" si="1"/>
        <v>5.1999999999999977E-2</v>
      </c>
      <c r="O3" s="18">
        <f t="shared" si="1"/>
        <v>4.7999999999999973E-2</v>
      </c>
      <c r="P3" s="18">
        <f t="shared" si="1"/>
        <v>4.399999999999997E-2</v>
      </c>
      <c r="Q3" s="3">
        <v>0.04</v>
      </c>
    </row>
    <row r="4" spans="2:17" x14ac:dyDescent="0.25">
      <c r="B4" s="28" t="s">
        <v>4</v>
      </c>
      <c r="C4" s="28">
        <f>C3/10</f>
        <v>0.01</v>
      </c>
      <c r="F4" s="18" t="s">
        <v>5</v>
      </c>
      <c r="G4" s="19">
        <f>(PI()*(2*G3)^2)/4</f>
        <v>2.0106192982974676E-2</v>
      </c>
      <c r="H4" s="19">
        <f t="shared" ref="H4:Q4" si="2">(PI()*(2*H3)^2)/4</f>
        <v>1.8145839167134643E-2</v>
      </c>
      <c r="I4" s="19">
        <f t="shared" si="2"/>
        <v>1.6286016316209486E-2</v>
      </c>
      <c r="J4" s="19">
        <f t="shared" si="2"/>
        <v>1.4526724430199199E-2</v>
      </c>
      <c r="K4" s="19">
        <f t="shared" si="2"/>
        <v>1.2867963509103787E-2</v>
      </c>
      <c r="L4" s="19">
        <f t="shared" si="2"/>
        <v>1.1309733552923249E-2</v>
      </c>
      <c r="M4" s="19">
        <f t="shared" si="2"/>
        <v>9.8520345616575841E-3</v>
      </c>
      <c r="N4" s="19">
        <f t="shared" si="2"/>
        <v>8.4948665353067939E-3</v>
      </c>
      <c r="O4" s="19">
        <f t="shared" si="2"/>
        <v>7.2382294738708754E-3</v>
      </c>
      <c r="P4" s="19">
        <f t="shared" si="2"/>
        <v>6.0821233773498311E-3</v>
      </c>
      <c r="Q4" s="19">
        <f t="shared" si="2"/>
        <v>5.0265482457436689E-3</v>
      </c>
    </row>
    <row r="5" spans="2:17" x14ac:dyDescent="0.25">
      <c r="B5" s="30"/>
      <c r="C5" s="30"/>
      <c r="F5" s="18" t="s">
        <v>6</v>
      </c>
      <c r="G5" s="18">
        <v>17.992735203982743</v>
      </c>
      <c r="H5" s="18">
        <v>19.943385514333563</v>
      </c>
      <c r="I5" s="18">
        <v>22.2310023121947</v>
      </c>
      <c r="J5" s="18">
        <v>24.938325891384181</v>
      </c>
      <c r="K5" s="18">
        <v>28.175828534873823</v>
      </c>
      <c r="L5" s="18">
        <v>32.093578366734576</v>
      </c>
      <c r="M5" s="18">
        <v>36.900116308528744</v>
      </c>
      <c r="N5" s="18">
        <v>42.893253538380733</v>
      </c>
      <c r="O5" s="18">
        <v>50.512873259515843</v>
      </c>
      <c r="P5" s="18">
        <v>60.437525153173311</v>
      </c>
      <c r="Q5" s="18">
        <v>73.777621051693913</v>
      </c>
    </row>
    <row r="6" spans="2:17" x14ac:dyDescent="0.25">
      <c r="B6" s="28" t="s">
        <v>7</v>
      </c>
      <c r="C6" s="28">
        <v>1.4</v>
      </c>
      <c r="F6" s="18" t="s">
        <v>8</v>
      </c>
      <c r="G6" s="18">
        <v>104794.75449082235</v>
      </c>
      <c r="H6" s="18">
        <v>104745.44393308164</v>
      </c>
      <c r="I6" s="18">
        <v>104681.01088378794</v>
      </c>
      <c r="J6" s="18">
        <v>104595.52103003516</v>
      </c>
      <c r="K6" s="18">
        <v>104480.11103528689</v>
      </c>
      <c r="L6" s="18">
        <v>104321.20963561033</v>
      </c>
      <c r="M6" s="18">
        <v>104097.41504935801</v>
      </c>
      <c r="N6" s="18">
        <v>103773.79144761192</v>
      </c>
      <c r="O6" s="18">
        <v>103290.90748628016</v>
      </c>
      <c r="P6" s="18">
        <v>102542.39105978786</v>
      </c>
      <c r="Q6" s="18">
        <v>101325</v>
      </c>
    </row>
    <row r="7" spans="2:17" x14ac:dyDescent="0.25">
      <c r="B7" s="28" t="s">
        <v>3</v>
      </c>
      <c r="C7" s="28">
        <v>286.97199999999998</v>
      </c>
      <c r="F7" s="18" t="s">
        <v>9</v>
      </c>
      <c r="G7" s="18">
        <v>1.2679708860369274</v>
      </c>
      <c r="H7" s="18">
        <v>1.2675363804942814</v>
      </c>
      <c r="I7" s="18">
        <v>1.2669679817361805</v>
      </c>
      <c r="J7" s="18">
        <v>1.2662128675086193</v>
      </c>
      <c r="K7" s="18">
        <v>1.2651919839587777</v>
      </c>
      <c r="L7" s="18">
        <v>1.2637839993087323</v>
      </c>
      <c r="M7" s="18">
        <v>1.2617970322874723</v>
      </c>
      <c r="N7" s="18">
        <v>1.2589167767848575</v>
      </c>
      <c r="O7" s="18">
        <v>1.2546062311530164</v>
      </c>
      <c r="P7" s="18">
        <v>1.2478988572968472</v>
      </c>
      <c r="Q7" s="18">
        <v>1.2369339290766033</v>
      </c>
    </row>
    <row r="8" spans="2:17" x14ac:dyDescent="0.25">
      <c r="B8" s="28" t="s">
        <v>10</v>
      </c>
      <c r="C8" s="28">
        <v>1004.4</v>
      </c>
    </row>
    <row r="9" spans="2:17" x14ac:dyDescent="0.25">
      <c r="B9" s="30"/>
      <c r="C9" s="30"/>
    </row>
    <row r="10" spans="2:17" x14ac:dyDescent="0.25">
      <c r="B10" s="28" t="s">
        <v>11</v>
      </c>
      <c r="C10" s="28">
        <v>105000</v>
      </c>
      <c r="F10" s="18" t="s">
        <v>12</v>
      </c>
      <c r="G10" s="19">
        <f t="shared" ref="G10:Q10" si="3">G4*G7*G13</f>
        <v>0.45870806386156959</v>
      </c>
      <c r="H10" s="19">
        <f t="shared" si="3"/>
        <v>0.45870812460533095</v>
      </c>
      <c r="I10" s="19">
        <f t="shared" si="3"/>
        <v>0.45871145591527301</v>
      </c>
      <c r="J10" s="19">
        <f t="shared" si="3"/>
        <v>0.45871372830548984</v>
      </c>
      <c r="K10" s="19">
        <f t="shared" si="3"/>
        <v>0.45871501639313855</v>
      </c>
      <c r="L10" s="19">
        <f t="shared" si="3"/>
        <v>0.45871545258888685</v>
      </c>
      <c r="M10" s="19">
        <f t="shared" si="3"/>
        <v>0.4587152316086579</v>
      </c>
      <c r="N10" s="19">
        <f t="shared" si="3"/>
        <v>0.45871460463210123</v>
      </c>
      <c r="O10" s="19">
        <f t="shared" si="3"/>
        <v>0.4587138553142413</v>
      </c>
      <c r="P10" s="19">
        <f t="shared" si="3"/>
        <v>0.4587132493269841</v>
      </c>
      <c r="Q10" s="19">
        <f t="shared" si="3"/>
        <v>0.45871295501253101</v>
      </c>
    </row>
    <row r="11" spans="2:17" x14ac:dyDescent="0.25">
      <c r="B11" s="28" t="s">
        <v>13</v>
      </c>
      <c r="C11" s="28">
        <v>288.16000000000003</v>
      </c>
      <c r="F11" s="18" t="s">
        <v>14</v>
      </c>
      <c r="G11" s="20">
        <v>0</v>
      </c>
      <c r="H11" s="20">
        <f>(H13)*(H10-I10)</f>
        <v>-6.6437607240284966E-5</v>
      </c>
      <c r="I11" s="20">
        <f t="shared" ref="I11:P11" si="4">(I13)*(I10-J10)</f>
        <v>-5.0517516499716116E-5</v>
      </c>
      <c r="J11" s="20">
        <f t="shared" si="4"/>
        <v>-3.2122751125420009E-5</v>
      </c>
      <c r="K11" s="20">
        <f t="shared" si="4"/>
        <v>-1.2290176875445071E-5</v>
      </c>
      <c r="L11" s="20">
        <f t="shared" si="4"/>
        <v>7.0920463220164122E-6</v>
      </c>
      <c r="M11" s="20">
        <f t="shared" si="4"/>
        <v>2.3135507742046878E-5</v>
      </c>
      <c r="N11" s="20">
        <f t="shared" si="4"/>
        <v>3.2140680709262721E-5</v>
      </c>
      <c r="O11" s="20">
        <f t="shared" si="4"/>
        <v>3.0610157365209358E-5</v>
      </c>
      <c r="P11" s="20">
        <f t="shared" si="4"/>
        <v>1.7787637139449711E-5</v>
      </c>
      <c r="Q11" s="6">
        <v>0</v>
      </c>
    </row>
    <row r="12" spans="2:17" x14ac:dyDescent="0.25">
      <c r="B12" s="28" t="s">
        <v>8</v>
      </c>
      <c r="C12" s="28">
        <v>101325</v>
      </c>
    </row>
    <row r="13" spans="2:17" x14ac:dyDescent="0.25">
      <c r="B13" s="30"/>
      <c r="C13" s="30"/>
      <c r="F13" s="18" t="s">
        <v>6</v>
      </c>
      <c r="G13" s="6">
        <f>(H4*H5*H7)/(G4*G7)</f>
        <v>17.992737600393198</v>
      </c>
      <c r="H13" s="21">
        <f t="shared" ref="H13:P13" si="5">((G6-H6)/H7+G5*H5)^0.5</f>
        <v>19.943388155307954</v>
      </c>
      <c r="I13" s="21">
        <f t="shared" si="5"/>
        <v>22.231004219960848</v>
      </c>
      <c r="J13" s="21">
        <f t="shared" si="5"/>
        <v>24.938327106540772</v>
      </c>
      <c r="K13" s="21">
        <f t="shared" si="5"/>
        <v>28.175829139490641</v>
      </c>
      <c r="L13" s="21">
        <f t="shared" si="5"/>
        <v>32.093578487784306</v>
      </c>
      <c r="M13" s="21">
        <f t="shared" si="5"/>
        <v>36.900116114124799</v>
      </c>
      <c r="N13" s="21">
        <f t="shared" si="5"/>
        <v>42.89325322151965</v>
      </c>
      <c r="O13" s="21">
        <f t="shared" si="5"/>
        <v>50.512873003761477</v>
      </c>
      <c r="P13" s="21">
        <f t="shared" si="5"/>
        <v>60.437525078740791</v>
      </c>
      <c r="Q13" s="21">
        <f>((P6-Q6)/Q7+P5*Q5)^0.5</f>
        <v>73.77762115499101</v>
      </c>
    </row>
    <row r="14" spans="2:17" x14ac:dyDescent="0.25">
      <c r="B14" s="28" t="s">
        <v>15</v>
      </c>
      <c r="C14" s="28">
        <v>1000</v>
      </c>
      <c r="D14">
        <v>1000</v>
      </c>
      <c r="F14" s="18" t="s">
        <v>8</v>
      </c>
      <c r="G14" s="22">
        <f>C10-(G7*G13^2)/2</f>
        <v>104794.75443622682</v>
      </c>
      <c r="H14" s="23">
        <f>H6+H11</f>
        <v>104745.44386664403</v>
      </c>
      <c r="I14" s="23">
        <f t="shared" ref="I14:Q14" si="6">I6+I11</f>
        <v>104681.01083327043</v>
      </c>
      <c r="J14" s="23">
        <f t="shared" si="6"/>
        <v>104595.5209979124</v>
      </c>
      <c r="K14" s="23">
        <f t="shared" si="6"/>
        <v>104480.1110229967</v>
      </c>
      <c r="L14" s="23">
        <f t="shared" si="6"/>
        <v>104321.20964270238</v>
      </c>
      <c r="M14" s="23">
        <f t="shared" si="6"/>
        <v>104097.41507249352</v>
      </c>
      <c r="N14" s="23">
        <f t="shared" si="6"/>
        <v>103773.7914797526</v>
      </c>
      <c r="O14" s="23">
        <f t="shared" si="6"/>
        <v>103290.90751689032</v>
      </c>
      <c r="P14" s="23">
        <f t="shared" si="6"/>
        <v>102542.39107757549</v>
      </c>
      <c r="Q14" s="22">
        <f t="shared" si="6"/>
        <v>101325</v>
      </c>
    </row>
    <row r="15" spans="2:17" x14ac:dyDescent="0.25">
      <c r="F15" s="18" t="s">
        <v>9</v>
      </c>
      <c r="G15" s="18">
        <f>G14/($C$7*G17)</f>
        <v>1.2679708855653491</v>
      </c>
      <c r="H15" s="18">
        <f t="shared" ref="H15:Q15" si="7">H14/($C$7*H17)</f>
        <v>1.2675363799211365</v>
      </c>
      <c r="I15" s="18">
        <f t="shared" si="7"/>
        <v>1.2669679813105752</v>
      </c>
      <c r="J15" s="18">
        <f t="shared" si="7"/>
        <v>1.2662128672524662</v>
      </c>
      <c r="K15" s="18">
        <f t="shared" si="7"/>
        <v>1.2651919838845216</v>
      </c>
      <c r="L15" s="18">
        <f t="shared" si="7"/>
        <v>1.2637839994116415</v>
      </c>
      <c r="M15" s="18">
        <f t="shared" si="7"/>
        <v>1.2617970325365573</v>
      </c>
      <c r="N15" s="18">
        <f t="shared" si="7"/>
        <v>1.2589167771154617</v>
      </c>
      <c r="O15" s="18">
        <f t="shared" si="7"/>
        <v>1.2546062314685691</v>
      </c>
      <c r="P15" s="18">
        <f t="shared" si="7"/>
        <v>1.2478988574937966</v>
      </c>
      <c r="Q15" s="18">
        <f t="shared" si="7"/>
        <v>1.2369339291094825</v>
      </c>
    </row>
    <row r="17" spans="6:25" x14ac:dyDescent="0.25">
      <c r="F17" s="18" t="s">
        <v>17</v>
      </c>
      <c r="G17" s="21">
        <f>$C$11-(G13^2)/(2*$C$8)</f>
        <v>287.99883980169426</v>
      </c>
      <c r="H17" s="21">
        <f t="shared" ref="H17:Q17" si="8">$C$11-(H13^2)/(2*$C$8)</f>
        <v>287.96200182640717</v>
      </c>
      <c r="I17" s="21">
        <f t="shared" si="8"/>
        <v>287.91397374122465</v>
      </c>
      <c r="J17" s="21">
        <f t="shared" si="8"/>
        <v>287.85040215109876</v>
      </c>
      <c r="K17" s="21">
        <f t="shared" si="8"/>
        <v>287.76480020524804</v>
      </c>
      <c r="L17" s="21">
        <f t="shared" si="8"/>
        <v>287.64725717833954</v>
      </c>
      <c r="M17" s="21">
        <f t="shared" si="8"/>
        <v>287.48217315350666</v>
      </c>
      <c r="N17" s="21">
        <f t="shared" si="8"/>
        <v>287.24411431106864</v>
      </c>
      <c r="O17" s="21">
        <f t="shared" si="8"/>
        <v>286.88981365039126</v>
      </c>
      <c r="P17" s="21">
        <f t="shared" si="8"/>
        <v>286.34165350575302</v>
      </c>
      <c r="Q17" s="21">
        <f t="shared" si="8"/>
        <v>285.45035375184722</v>
      </c>
    </row>
    <row r="18" spans="6:25" x14ac:dyDescent="0.25">
      <c r="F18" s="18" t="s">
        <v>18</v>
      </c>
      <c r="G18" s="24">
        <f>SQRT($C$6*$C$7*G17)</f>
        <v>340.15679366698015</v>
      </c>
      <c r="H18" s="24">
        <f t="shared" ref="H18:Q18" si="9">SQRT($C$6*$C$7*H17)</f>
        <v>340.13503821773315</v>
      </c>
      <c r="I18" s="24">
        <f t="shared" si="9"/>
        <v>340.10667212134103</v>
      </c>
      <c r="J18" s="24">
        <f t="shared" si="9"/>
        <v>340.06912216275555</v>
      </c>
      <c r="K18" s="24">
        <f t="shared" si="9"/>
        <v>340.01855293836633</v>
      </c>
      <c r="L18" s="24">
        <f t="shared" si="9"/>
        <v>339.94910231058918</v>
      </c>
      <c r="M18" s="24">
        <f t="shared" si="9"/>
        <v>339.85153798664993</v>
      </c>
      <c r="N18" s="24">
        <f t="shared" si="9"/>
        <v>339.71079635611579</v>
      </c>
      <c r="O18" s="24">
        <f t="shared" si="9"/>
        <v>339.50122392125792</v>
      </c>
      <c r="P18" s="24">
        <f t="shared" si="9"/>
        <v>339.17672648015537</v>
      </c>
      <c r="Q18" s="24">
        <f t="shared" si="9"/>
        <v>338.64843493455737</v>
      </c>
    </row>
    <row r="19" spans="6:25" x14ac:dyDescent="0.25">
      <c r="F19" s="18" t="s">
        <v>19</v>
      </c>
      <c r="G19" s="20">
        <f>G13/G18</f>
        <v>5.289542333236015E-2</v>
      </c>
      <c r="H19" s="20">
        <f t="shared" ref="H19:P19" si="10">H13/H18</f>
        <v>5.8633736353093519E-2</v>
      </c>
      <c r="I19" s="20">
        <f t="shared" si="10"/>
        <v>6.5364798877069419E-2</v>
      </c>
      <c r="J19" s="20">
        <f t="shared" si="10"/>
        <v>7.3333112244767115E-2</v>
      </c>
      <c r="K19" s="20">
        <f t="shared" si="10"/>
        <v>8.28655639405593E-2</v>
      </c>
      <c r="L19" s="20">
        <f t="shared" si="10"/>
        <v>9.4407010548486492E-2</v>
      </c>
      <c r="M19" s="20">
        <f t="shared" si="10"/>
        <v>0.1085771638190271</v>
      </c>
      <c r="N19" s="20">
        <f t="shared" si="10"/>
        <v>0.12626402717137972</v>
      </c>
      <c r="O19" s="20">
        <f t="shared" si="10"/>
        <v>0.14878554021200571</v>
      </c>
      <c r="P19" s="20">
        <f t="shared" si="10"/>
        <v>0.17818889198542012</v>
      </c>
      <c r="Q19" s="20">
        <f>Q13/Q18</f>
        <v>0.21785903475162458</v>
      </c>
    </row>
    <row r="20" spans="6:25" x14ac:dyDescent="0.25">
      <c r="F20" s="18" t="s">
        <v>23</v>
      </c>
      <c r="G20" s="18">
        <f>1-((($C$6-1)/($C$6+1))*G21^2)</f>
        <v>0.99944352876853959</v>
      </c>
      <c r="H20" s="18">
        <f t="shared" ref="H20:Q20" si="11">1-((($C$6-1)/($C$6+1))*H21^2)</f>
        <v>0.99931711241127719</v>
      </c>
      <c r="I20" s="18">
        <f t="shared" si="11"/>
        <v>0.99915272864376514</v>
      </c>
      <c r="J20" s="18">
        <f t="shared" si="11"/>
        <v>0.99893589589154475</v>
      </c>
      <c r="K20" s="18">
        <f t="shared" si="11"/>
        <v>0.99864526478769866</v>
      </c>
      <c r="L20" s="18">
        <f t="shared" si="11"/>
        <v>0.99824868117317456</v>
      </c>
      <c r="M20" s="18">
        <f t="shared" si="11"/>
        <v>0.9976965115523394</v>
      </c>
      <c r="N20" s="18">
        <f t="shared" si="11"/>
        <v>0.99691000424917287</v>
      </c>
      <c r="O20" s="18">
        <f t="shared" si="11"/>
        <v>0.99576028299684261</v>
      </c>
      <c r="P20" s="18">
        <f t="shared" si="11"/>
        <v>0.99402892247786845</v>
      </c>
      <c r="Q20" s="18">
        <f t="shared" si="11"/>
        <v>0.9913304465774575</v>
      </c>
    </row>
    <row r="21" spans="6:25" x14ac:dyDescent="0.25">
      <c r="F21" s="18" t="s">
        <v>24</v>
      </c>
      <c r="G21" s="18">
        <f>SQRT(((($C$6+1)/2)*G19^2)/(1+2*G19^2))</f>
        <v>5.778258724531532E-2</v>
      </c>
      <c r="H21" s="18">
        <f>SQRT(((($C$6+1)/2)*H19^2)/(1+2*H19^2))</f>
        <v>6.4010354883694873E-2</v>
      </c>
      <c r="I21" s="18">
        <f t="shared" ref="I21:Q21" si="12">SQRT(((($C$6+1)/2)*I19^2)/(1+2*I19^2))</f>
        <v>7.129956617966797E-2</v>
      </c>
      <c r="J21" s="18">
        <f t="shared" si="12"/>
        <v>7.9903846282461305E-2</v>
      </c>
      <c r="K21" s="18">
        <f t="shared" si="12"/>
        <v>9.0157702243392882E-2</v>
      </c>
      <c r="L21" s="18">
        <f t="shared" si="12"/>
        <v>0.10250811168367331</v>
      </c>
      <c r="M21" s="18">
        <f t="shared" si="12"/>
        <v>0.1175624544060031</v>
      </c>
      <c r="N21" s="18">
        <f t="shared" si="12"/>
        <v>0.13616157499442744</v>
      </c>
      <c r="O21" s="18">
        <f t="shared" si="12"/>
        <v>0.15949389335941519</v>
      </c>
      <c r="P21" s="18">
        <f t="shared" si="12"/>
        <v>0.1892788026504543</v>
      </c>
      <c r="Q21" s="18">
        <f t="shared" si="12"/>
        <v>0.22807305964373603</v>
      </c>
    </row>
    <row r="22" spans="6:25" x14ac:dyDescent="0.25">
      <c r="F22" s="18" t="s">
        <v>25</v>
      </c>
      <c r="G22" s="18">
        <f>(1-((($C$6-1)/($C$6+1))*G21^2))^($C$6/($C$6-1))</f>
        <v>0.99805370507648394</v>
      </c>
      <c r="H22" s="18">
        <f t="shared" ref="H22:Q22" si="13">(1-((($C$6-1)/($C$6+1))*H21^2))^($C$6/($C$6-1))</f>
        <v>0.9976119329605424</v>
      </c>
      <c r="I22" s="18">
        <f t="shared" si="13"/>
        <v>0.99703768959860262</v>
      </c>
      <c r="J22" s="18">
        <f t="shared" si="13"/>
        <v>0.99628058687432741</v>
      </c>
      <c r="K22" s="18">
        <f t="shared" si="13"/>
        <v>0.99526645078925602</v>
      </c>
      <c r="L22" s="18">
        <f t="shared" si="13"/>
        <v>0.99388379099817081</v>
      </c>
      <c r="M22" s="18">
        <f t="shared" si="13"/>
        <v>0.99196097771253788</v>
      </c>
      <c r="N22" s="18">
        <f t="shared" si="13"/>
        <v>0.98922672318073179</v>
      </c>
      <c r="O22" s="18">
        <f t="shared" si="13"/>
        <v>0.98523946536964913</v>
      </c>
      <c r="P22" s="18">
        <f t="shared" si="13"/>
        <v>0.97925674855003142</v>
      </c>
      <c r="Q22" s="18">
        <f t="shared" si="13"/>
        <v>0.96998396922215091</v>
      </c>
    </row>
    <row r="23" spans="6:25" x14ac:dyDescent="0.25">
      <c r="F23" s="18" t="s">
        <v>11</v>
      </c>
      <c r="G23" s="18">
        <f>G14/G22</f>
        <v>104999.11367815229</v>
      </c>
      <c r="H23" s="18">
        <f t="shared" ref="H23:Q23" si="14">H14/H22</f>
        <v>104996.18178763999</v>
      </c>
      <c r="I23" s="18">
        <f t="shared" si="14"/>
        <v>104992.02981525598</v>
      </c>
      <c r="J23" s="18">
        <f t="shared" si="14"/>
        <v>104986.00733159349</v>
      </c>
      <c r="K23" s="18">
        <f t="shared" si="14"/>
        <v>104977.02493653128</v>
      </c>
      <c r="L23" s="18">
        <f t="shared" si="14"/>
        <v>104963.18642839641</v>
      </c>
      <c r="M23" s="18">
        <f t="shared" si="14"/>
        <v>104941.03841921501</v>
      </c>
      <c r="N23" s="18">
        <f t="shared" si="14"/>
        <v>104903.95078095068</v>
      </c>
      <c r="O23" s="18">
        <f t="shared" si="14"/>
        <v>104838.3780263379</v>
      </c>
      <c r="P23" s="18">
        <f t="shared" si="14"/>
        <v>104714.51049932333</v>
      </c>
      <c r="Q23" s="18">
        <f t="shared" si="14"/>
        <v>104460.48926071891</v>
      </c>
    </row>
    <row r="24" spans="6:25" x14ac:dyDescent="0.25">
      <c r="T24" s="5"/>
      <c r="U24" s="5">
        <v>0</v>
      </c>
      <c r="V24" s="4">
        <v>2.5000000000000001E-2</v>
      </c>
      <c r="W24" s="5">
        <v>0.05</v>
      </c>
      <c r="X24" s="4">
        <v>7.4999999999999997E-2</v>
      </c>
      <c r="Y24" s="5">
        <v>0.1</v>
      </c>
    </row>
    <row r="25" spans="6:25" x14ac:dyDescent="0.25">
      <c r="T25" s="5" t="s">
        <v>20</v>
      </c>
      <c r="U25" s="7">
        <v>19.64</v>
      </c>
      <c r="V25" s="5">
        <v>24.57</v>
      </c>
      <c r="W25" s="5">
        <v>33.6</v>
      </c>
      <c r="X25" s="5">
        <v>48.64</v>
      </c>
      <c r="Y25" s="5">
        <v>76.44</v>
      </c>
    </row>
    <row r="26" spans="6:25" x14ac:dyDescent="0.25">
      <c r="T26" s="5" t="s">
        <v>21</v>
      </c>
      <c r="U26" s="8">
        <v>104742</v>
      </c>
      <c r="V26" s="8">
        <v>104613</v>
      </c>
      <c r="W26" s="8">
        <v>104281</v>
      </c>
      <c r="X26" s="8">
        <v>103498</v>
      </c>
      <c r="Y26" s="8">
        <v>101336</v>
      </c>
    </row>
    <row r="27" spans="6:25" x14ac:dyDescent="0.25">
      <c r="T27" s="5" t="s">
        <v>22</v>
      </c>
      <c r="U27" s="4">
        <v>0.46100000000000002</v>
      </c>
      <c r="V27" s="5"/>
      <c r="W27" s="5"/>
      <c r="X27" s="5"/>
      <c r="Y27" s="5"/>
    </row>
    <row r="30" spans="6:25" x14ac:dyDescent="0.25">
      <c r="J30" s="2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Euler_1D_ro_const_p135</vt:lpstr>
      <vt:lpstr>Euler_1D_var_p135</vt:lpstr>
      <vt:lpstr>Euler_1D_ro_const_p105</vt:lpstr>
      <vt:lpstr>Euler_1D_ro_var_p105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2021-05-22T17:38:47Z</dcterms:created>
  <dcterms:modified xsi:type="dcterms:W3CDTF">2021-05-22T21:16:06Z</dcterms:modified>
</cp:coreProperties>
</file>